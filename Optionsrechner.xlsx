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private\"/>
    </mc:Choice>
  </mc:AlternateContent>
  <xr:revisionPtr revIDLastSave="0" documentId="13_ncr:1_{015EDB5F-D44A-4053-930E-4D30E8EE76C1}" xr6:coauthVersionLast="47" xr6:coauthVersionMax="47" xr10:uidLastSave="{00000000-0000-0000-0000-000000000000}"/>
  <bookViews>
    <workbookView xWindow="-120" yWindow="-120" windowWidth="38640" windowHeight="21120" activeTab="2" xr2:uid="{E31C1C70-ACD5-4ECD-81E2-E8F412167E84}"/>
  </bookViews>
  <sheets>
    <sheet name="Optionen" sheetId="5" r:id="rId1"/>
    <sheet name="Optionen 2024" sheetId="8" r:id="rId2"/>
    <sheet name="Optionen 2025" sheetId="7" r:id="rId3"/>
    <sheet name="Profitrechner" sheetId="6" r:id="rId4"/>
  </sheets>
  <definedNames>
    <definedName name="_xlnm._FilterDatabase" localSheetId="0" hidden="1">Optionen!$A$1:$Y$32</definedName>
    <definedName name="_xlnm._FilterDatabase" localSheetId="1" hidden="1">'Optionen 2024'!$A$1:$W$33</definedName>
    <definedName name="_xlnm._FilterDatabase" localSheetId="2" hidden="1">'Optionen 2025'!$A$1:$W$40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7" l="1"/>
  <c r="N20" i="7" s="1"/>
  <c r="O20" i="7"/>
  <c r="P20" i="7" s="1"/>
  <c r="Q20" i="7"/>
  <c r="W20" i="7" s="1"/>
  <c r="R20" i="7"/>
  <c r="E20" i="7"/>
  <c r="F20" i="7"/>
  <c r="M19" i="7"/>
  <c r="O19" i="7" s="1"/>
  <c r="P19" i="7" s="1"/>
  <c r="R19" i="7"/>
  <c r="E19" i="7"/>
  <c r="F19" i="7"/>
  <c r="M43" i="7"/>
  <c r="O43" i="7" s="1"/>
  <c r="P43" i="7" s="1"/>
  <c r="R43" i="7"/>
  <c r="E43" i="7"/>
  <c r="F43" i="7"/>
  <c r="M42" i="7"/>
  <c r="N42" i="7" s="1"/>
  <c r="R42" i="7"/>
  <c r="E42" i="7"/>
  <c r="F42" i="7"/>
  <c r="M40" i="7"/>
  <c r="N40" i="7" s="1"/>
  <c r="Q40" i="7"/>
  <c r="W40" i="7" s="1"/>
  <c r="R40" i="7"/>
  <c r="E40" i="7"/>
  <c r="F40" i="7"/>
  <c r="M30" i="7"/>
  <c r="Q30" i="7" s="1"/>
  <c r="W30" i="7" s="1"/>
  <c r="R30" i="7"/>
  <c r="E30" i="7"/>
  <c r="F30" i="7"/>
  <c r="L38" i="7"/>
  <c r="M38" i="7" s="1"/>
  <c r="O38" i="7" s="1"/>
  <c r="P38" i="7" s="1"/>
  <c r="R38" i="7"/>
  <c r="E38" i="7"/>
  <c r="F38" i="7"/>
  <c r="M37" i="7"/>
  <c r="Q37" i="7" s="1"/>
  <c r="W37" i="7" s="1"/>
  <c r="R37" i="7"/>
  <c r="E37" i="7"/>
  <c r="F37" i="7"/>
  <c r="L36" i="7"/>
  <c r="M36" i="7" s="1"/>
  <c r="N36" i="7" s="1"/>
  <c r="R36" i="7"/>
  <c r="E36" i="7"/>
  <c r="F36" i="7"/>
  <c r="M35" i="7"/>
  <c r="N35" i="7" s="1"/>
  <c r="R35" i="7"/>
  <c r="E35" i="7"/>
  <c r="F35" i="7"/>
  <c r="M34" i="7"/>
  <c r="N34" i="7" s="1"/>
  <c r="R34" i="7"/>
  <c r="E34" i="7"/>
  <c r="F34" i="7"/>
  <c r="M28" i="7"/>
  <c r="N28" i="7" s="1"/>
  <c r="R28" i="7"/>
  <c r="E28" i="7"/>
  <c r="F28" i="7"/>
  <c r="M32" i="7"/>
  <c r="O32" i="7" s="1"/>
  <c r="P32" i="7" s="1"/>
  <c r="R32" i="7"/>
  <c r="E32" i="7"/>
  <c r="F32" i="7"/>
  <c r="M25" i="7"/>
  <c r="N25" i="7" s="1"/>
  <c r="R25" i="7"/>
  <c r="F25" i="7"/>
  <c r="E25" i="7"/>
  <c r="R24" i="7"/>
  <c r="M24" i="7"/>
  <c r="O24" i="7" s="1"/>
  <c r="P24" i="7" s="1"/>
  <c r="E24" i="7"/>
  <c r="F24" i="7"/>
  <c r="M27" i="7"/>
  <c r="O27" i="7" s="1"/>
  <c r="P27" i="7" s="1"/>
  <c r="R27" i="7"/>
  <c r="E27" i="7"/>
  <c r="F27" i="7"/>
  <c r="M26" i="7"/>
  <c r="N26" i="7" s="1"/>
  <c r="R26" i="7"/>
  <c r="E26" i="7"/>
  <c r="F26" i="7"/>
  <c r="M31" i="7"/>
  <c r="N31" i="7" s="1"/>
  <c r="R31" i="7"/>
  <c r="F31" i="7"/>
  <c r="E31" i="7"/>
  <c r="M39" i="7"/>
  <c r="N39" i="7" s="1"/>
  <c r="R39" i="7"/>
  <c r="E39" i="7"/>
  <c r="F39" i="7"/>
  <c r="M33" i="7"/>
  <c r="N33" i="7" s="1"/>
  <c r="R33" i="7"/>
  <c r="E33" i="7"/>
  <c r="F33" i="7"/>
  <c r="K11" i="7"/>
  <c r="M11" i="7" s="1"/>
  <c r="Q11" i="7" s="1"/>
  <c r="M41" i="7"/>
  <c r="N41" i="7" s="1"/>
  <c r="R41" i="7"/>
  <c r="E41" i="7"/>
  <c r="F41" i="7"/>
  <c r="M29" i="7"/>
  <c r="N29" i="7"/>
  <c r="R29" i="7"/>
  <c r="F29" i="7"/>
  <c r="E29" i="7"/>
  <c r="Q12" i="8"/>
  <c r="W12" i="8" s="1"/>
  <c r="Q13" i="8"/>
  <c r="W13" i="8" s="1"/>
  <c r="Q14" i="8"/>
  <c r="W14" i="8" s="1"/>
  <c r="Q15" i="8"/>
  <c r="W15" i="8" s="1"/>
  <c r="Q11" i="8"/>
  <c r="W11" i="8" s="1"/>
  <c r="M30" i="8"/>
  <c r="N30" i="8" s="1"/>
  <c r="O30" i="8"/>
  <c r="P30" i="8" s="1"/>
  <c r="Q30" i="8"/>
  <c r="W30" i="8" s="1"/>
  <c r="R30" i="8"/>
  <c r="E30" i="8"/>
  <c r="F30" i="8"/>
  <c r="M29" i="8"/>
  <c r="N29" i="8" s="1"/>
  <c r="Q29" i="8"/>
  <c r="W29" i="8" s="1"/>
  <c r="R29" i="8"/>
  <c r="E29" i="8"/>
  <c r="F29" i="8"/>
  <c r="M23" i="7"/>
  <c r="N23" i="7" s="1"/>
  <c r="R23" i="7"/>
  <c r="E23" i="7"/>
  <c r="F23" i="7"/>
  <c r="M22" i="7"/>
  <c r="N22" i="7" s="1"/>
  <c r="R22" i="7"/>
  <c r="E22" i="7"/>
  <c r="F22" i="7"/>
  <c r="M21" i="7"/>
  <c r="N21" i="7" s="1"/>
  <c r="R21" i="7"/>
  <c r="E21" i="7"/>
  <c r="F21" i="7"/>
  <c r="M18" i="7"/>
  <c r="O18" i="7" s="1"/>
  <c r="P18" i="7" s="1"/>
  <c r="R18" i="7"/>
  <c r="E18" i="7"/>
  <c r="F18" i="7"/>
  <c r="M17" i="7"/>
  <c r="N17" i="7" s="1"/>
  <c r="R17" i="7"/>
  <c r="E17" i="7"/>
  <c r="F17" i="7"/>
  <c r="M16" i="7"/>
  <c r="N16" i="7" s="1"/>
  <c r="R16" i="7"/>
  <c r="E16" i="7"/>
  <c r="F16" i="7"/>
  <c r="M15" i="7"/>
  <c r="N15" i="7" s="1"/>
  <c r="R15" i="7"/>
  <c r="L10" i="7"/>
  <c r="K10" i="7"/>
  <c r="R10" i="7" s="1"/>
  <c r="M14" i="7"/>
  <c r="N14" i="7" s="1"/>
  <c r="R14" i="7"/>
  <c r="M13" i="7"/>
  <c r="O13" i="7" s="1"/>
  <c r="P13" i="7" s="1"/>
  <c r="R13" i="7"/>
  <c r="E13" i="7"/>
  <c r="F13" i="7"/>
  <c r="R12" i="7"/>
  <c r="M12" i="7"/>
  <c r="N12" i="7" s="1"/>
  <c r="R11" i="7"/>
  <c r="F11" i="7"/>
  <c r="E11" i="7"/>
  <c r="E15" i="7"/>
  <c r="F15" i="7"/>
  <c r="E14" i="7"/>
  <c r="F14" i="7"/>
  <c r="E12" i="7"/>
  <c r="F12" i="7"/>
  <c r="F10" i="7"/>
  <c r="E10" i="7"/>
  <c r="M9" i="7"/>
  <c r="N9" i="7" s="1"/>
  <c r="R9" i="7"/>
  <c r="E9" i="7"/>
  <c r="F9" i="7"/>
  <c r="O24" i="8"/>
  <c r="Y3" i="5"/>
  <c r="R4" i="7"/>
  <c r="M4" i="7"/>
  <c r="F4" i="7"/>
  <c r="E4" i="7"/>
  <c r="L2" i="5"/>
  <c r="L2" i="8"/>
  <c r="R28" i="8"/>
  <c r="M28" i="8"/>
  <c r="N28" i="8" s="1"/>
  <c r="F28" i="8"/>
  <c r="E28" i="8"/>
  <c r="V27" i="8"/>
  <c r="R27" i="8"/>
  <c r="M27" i="8"/>
  <c r="Q27" i="8" s="1"/>
  <c r="W27" i="8" s="1"/>
  <c r="F27" i="8"/>
  <c r="E27" i="8"/>
  <c r="V26" i="8"/>
  <c r="R26" i="8"/>
  <c r="M26" i="8"/>
  <c r="Q26" i="8" s="1"/>
  <c r="W26" i="8" s="1"/>
  <c r="F26" i="8"/>
  <c r="E26" i="8"/>
  <c r="V25" i="8"/>
  <c r="R25" i="8"/>
  <c r="M25" i="8"/>
  <c r="O25" i="8" s="1"/>
  <c r="F25" i="8"/>
  <c r="E25" i="8"/>
  <c r="V24" i="8"/>
  <c r="R24" i="8"/>
  <c r="M24" i="8"/>
  <c r="F24" i="8"/>
  <c r="E24" i="8"/>
  <c r="V23" i="8"/>
  <c r="R23" i="8"/>
  <c r="M23" i="8"/>
  <c r="Q23" i="8" s="1"/>
  <c r="W23" i="8" s="1"/>
  <c r="F23" i="8"/>
  <c r="E23" i="8"/>
  <c r="V22" i="8"/>
  <c r="R22" i="8"/>
  <c r="M22" i="8"/>
  <c r="Q22" i="8" s="1"/>
  <c r="W22" i="8" s="1"/>
  <c r="F22" i="8"/>
  <c r="E22" i="8"/>
  <c r="V21" i="8"/>
  <c r="R21" i="8"/>
  <c r="M21" i="8"/>
  <c r="Q21" i="8" s="1"/>
  <c r="W21" i="8" s="1"/>
  <c r="F21" i="8"/>
  <c r="E21" i="8"/>
  <c r="V20" i="8"/>
  <c r="R20" i="8"/>
  <c r="M20" i="8"/>
  <c r="O20" i="8" s="1"/>
  <c r="F20" i="8"/>
  <c r="E20" i="8"/>
  <c r="V19" i="8"/>
  <c r="R19" i="8"/>
  <c r="M19" i="8"/>
  <c r="N19" i="8" s="1"/>
  <c r="F19" i="8"/>
  <c r="E19" i="8"/>
  <c r="V18" i="8"/>
  <c r="R18" i="8"/>
  <c r="M18" i="8"/>
  <c r="Q18" i="8" s="1"/>
  <c r="W18" i="8" s="1"/>
  <c r="F18" i="8"/>
  <c r="E18" i="8"/>
  <c r="V17" i="8"/>
  <c r="R17" i="8"/>
  <c r="M17" i="8"/>
  <c r="Q17" i="8" s="1"/>
  <c r="W17" i="8" s="1"/>
  <c r="F17" i="8"/>
  <c r="E17" i="8"/>
  <c r="V16" i="8"/>
  <c r="R16" i="8"/>
  <c r="M16" i="8"/>
  <c r="N16" i="8" s="1"/>
  <c r="F16" i="8"/>
  <c r="E16" i="8"/>
  <c r="V15" i="8"/>
  <c r="R15" i="8"/>
  <c r="M15" i="8"/>
  <c r="F15" i="8"/>
  <c r="E15" i="8"/>
  <c r="V14" i="8"/>
  <c r="R14" i="8"/>
  <c r="M14" i="8"/>
  <c r="F14" i="8"/>
  <c r="E14" i="8"/>
  <c r="V13" i="8"/>
  <c r="R13" i="8"/>
  <c r="M13" i="8"/>
  <c r="N13" i="8" s="1"/>
  <c r="F13" i="8"/>
  <c r="E13" i="8"/>
  <c r="V12" i="8"/>
  <c r="R12" i="8"/>
  <c r="M12" i="8"/>
  <c r="F12" i="8"/>
  <c r="E12" i="8"/>
  <c r="V11" i="8"/>
  <c r="R11" i="8"/>
  <c r="M11" i="8"/>
  <c r="N11" i="8" s="1"/>
  <c r="F11" i="8"/>
  <c r="E11" i="8"/>
  <c r="V10" i="8"/>
  <c r="R10" i="8"/>
  <c r="M10" i="8"/>
  <c r="O10" i="8" s="1"/>
  <c r="F10" i="8"/>
  <c r="E10" i="8"/>
  <c r="V9" i="8"/>
  <c r="R9" i="8"/>
  <c r="M9" i="8"/>
  <c r="Q9" i="8" s="1"/>
  <c r="F9" i="8"/>
  <c r="E9" i="8"/>
  <c r="V8" i="8"/>
  <c r="R8" i="8"/>
  <c r="M8" i="8"/>
  <c r="O8" i="8" s="1"/>
  <c r="F8" i="8"/>
  <c r="E8" i="8"/>
  <c r="V7" i="8"/>
  <c r="R7" i="8"/>
  <c r="M7" i="8"/>
  <c r="N7" i="8" s="1"/>
  <c r="F7" i="8"/>
  <c r="E7" i="8"/>
  <c r="V6" i="8"/>
  <c r="R6" i="8"/>
  <c r="M6" i="8"/>
  <c r="O6" i="8" s="1"/>
  <c r="F6" i="8"/>
  <c r="E6" i="8"/>
  <c r="V5" i="8"/>
  <c r="R5" i="8"/>
  <c r="M5" i="8"/>
  <c r="Q5" i="8" s="1"/>
  <c r="W5" i="8" s="1"/>
  <c r="F5" i="8"/>
  <c r="E5" i="8"/>
  <c r="V4" i="8"/>
  <c r="R4" i="8"/>
  <c r="M4" i="8"/>
  <c r="Q4" i="8" s="1"/>
  <c r="F4" i="8"/>
  <c r="E4" i="8"/>
  <c r="R8" i="7"/>
  <c r="M8" i="7"/>
  <c r="Q8" i="7" s="1"/>
  <c r="F8" i="7"/>
  <c r="E8" i="7"/>
  <c r="R7" i="7"/>
  <c r="M7" i="7"/>
  <c r="O7" i="7" s="1"/>
  <c r="F7" i="7"/>
  <c r="E7" i="7"/>
  <c r="R6" i="7"/>
  <c r="M6" i="7"/>
  <c r="Q6" i="7" s="1"/>
  <c r="F6" i="7"/>
  <c r="E6" i="7"/>
  <c r="R5" i="7"/>
  <c r="M5" i="7"/>
  <c r="Q5" i="7" s="1"/>
  <c r="F5" i="7"/>
  <c r="E5" i="7"/>
  <c r="M32" i="5"/>
  <c r="O32" i="5" s="1"/>
  <c r="P32" i="5" s="1"/>
  <c r="X32" i="5"/>
  <c r="R32" i="5"/>
  <c r="E32" i="5"/>
  <c r="F32" i="5"/>
  <c r="S32" i="5" s="1"/>
  <c r="M31" i="5"/>
  <c r="N31" i="5" s="1"/>
  <c r="X31" i="5"/>
  <c r="R31" i="5"/>
  <c r="E31" i="5"/>
  <c r="F31" i="5"/>
  <c r="S31" i="5" s="1"/>
  <c r="M30" i="5"/>
  <c r="N30" i="5" s="1"/>
  <c r="X30" i="5"/>
  <c r="R30" i="5"/>
  <c r="E30" i="5"/>
  <c r="F30" i="5"/>
  <c r="S30" i="5" s="1"/>
  <c r="M29" i="5"/>
  <c r="Q29" i="5" s="1"/>
  <c r="Y29" i="5" s="1"/>
  <c r="X29" i="5"/>
  <c r="R29" i="5"/>
  <c r="E29" i="5"/>
  <c r="F29" i="5"/>
  <c r="S29" i="5" s="1"/>
  <c r="Y4" i="5"/>
  <c r="Y5" i="5"/>
  <c r="Y6" i="5"/>
  <c r="Y7" i="5"/>
  <c r="Y8" i="5"/>
  <c r="Y9" i="5"/>
  <c r="Y10" i="5"/>
  <c r="Y11" i="5"/>
  <c r="Y12" i="5"/>
  <c r="Y14" i="5"/>
  <c r="Y13" i="5"/>
  <c r="Y15" i="5"/>
  <c r="Y16" i="5"/>
  <c r="Y17" i="5"/>
  <c r="Y19" i="5"/>
  <c r="Y20" i="5"/>
  <c r="Y21" i="5"/>
  <c r="Y22" i="5"/>
  <c r="Y24" i="5"/>
  <c r="Y23" i="5"/>
  <c r="Y25" i="5"/>
  <c r="Y26" i="5"/>
  <c r="Y27" i="5"/>
  <c r="M28" i="5"/>
  <c r="N28" i="5" s="1"/>
  <c r="R28" i="5"/>
  <c r="E28" i="5"/>
  <c r="F28" i="5"/>
  <c r="S28" i="5" s="1"/>
  <c r="M27" i="5"/>
  <c r="N27" i="5" s="1"/>
  <c r="R27" i="5"/>
  <c r="E27" i="5"/>
  <c r="F27" i="5"/>
  <c r="S27" i="5" s="1"/>
  <c r="W26" i="5"/>
  <c r="M26" i="5"/>
  <c r="N26" i="5" s="1"/>
  <c r="R26" i="5"/>
  <c r="E26" i="5"/>
  <c r="F26" i="5"/>
  <c r="S26" i="5" s="1"/>
  <c r="W25" i="5"/>
  <c r="M25" i="5"/>
  <c r="N25" i="5" s="1"/>
  <c r="R25" i="5"/>
  <c r="E25" i="5"/>
  <c r="F25" i="5"/>
  <c r="S25" i="5" s="1"/>
  <c r="W23" i="5"/>
  <c r="M23" i="5"/>
  <c r="N23" i="5" s="1"/>
  <c r="R23" i="5"/>
  <c r="E23" i="5"/>
  <c r="F23" i="5"/>
  <c r="W24" i="5"/>
  <c r="M24" i="5"/>
  <c r="N24" i="5" s="1"/>
  <c r="R24" i="5"/>
  <c r="E24" i="5"/>
  <c r="F24" i="5"/>
  <c r="S24" i="5" s="1"/>
  <c r="W22" i="5"/>
  <c r="M22" i="5"/>
  <c r="N22" i="5" s="1"/>
  <c r="R22" i="5"/>
  <c r="E22" i="5"/>
  <c r="F22" i="5"/>
  <c r="S22" i="5" s="1"/>
  <c r="W4" i="5"/>
  <c r="W5" i="5"/>
  <c r="W7" i="5"/>
  <c r="W8" i="5"/>
  <c r="W11" i="5"/>
  <c r="W13" i="5"/>
  <c r="W17" i="5"/>
  <c r="W10" i="5"/>
  <c r="W19" i="5"/>
  <c r="W12" i="5"/>
  <c r="W18" i="5"/>
  <c r="W9" i="5"/>
  <c r="W14" i="5"/>
  <c r="W16" i="5"/>
  <c r="W15" i="5"/>
  <c r="W20" i="5"/>
  <c r="W21" i="5"/>
  <c r="W6" i="5"/>
  <c r="M21" i="5"/>
  <c r="N21" i="5" s="1"/>
  <c r="R21" i="5"/>
  <c r="E21" i="5"/>
  <c r="F21" i="5"/>
  <c r="S21" i="5" s="1"/>
  <c r="M20" i="5"/>
  <c r="N20" i="5" s="1"/>
  <c r="R20" i="5"/>
  <c r="E20" i="5"/>
  <c r="F20" i="5"/>
  <c r="S20" i="5" s="1"/>
  <c r="D10" i="6" a="1"/>
  <c r="Q19" i="7" l="1"/>
  <c r="W19" i="7" s="1"/>
  <c r="O37" i="7"/>
  <c r="P37" i="7" s="1"/>
  <c r="L2" i="7"/>
  <c r="Q43" i="7"/>
  <c r="W43" i="7" s="1"/>
  <c r="Q22" i="7"/>
  <c r="N19" i="7"/>
  <c r="N37" i="7"/>
  <c r="O22" i="7"/>
  <c r="P22" i="7" s="1"/>
  <c r="N32" i="7"/>
  <c r="N27" i="7"/>
  <c r="Q35" i="7"/>
  <c r="W35" i="7" s="1"/>
  <c r="O28" i="7"/>
  <c r="P28" i="7" s="1"/>
  <c r="Q34" i="7"/>
  <c r="W34" i="7" s="1"/>
  <c r="Q41" i="7"/>
  <c r="W41" i="7" s="1"/>
  <c r="Q21" i="7"/>
  <c r="W21" i="7" s="1"/>
  <c r="N43" i="7"/>
  <c r="Q42" i="7"/>
  <c r="W42" i="7" s="1"/>
  <c r="O42" i="7"/>
  <c r="P42" i="7" s="1"/>
  <c r="Q24" i="7"/>
  <c r="W24" i="7" s="1"/>
  <c r="Q7" i="7"/>
  <c r="N38" i="7"/>
  <c r="Q18" i="7"/>
  <c r="W18" i="7" s="1"/>
  <c r="Q38" i="7"/>
  <c r="W38" i="7" s="1"/>
  <c r="Q27" i="7"/>
  <c r="W27" i="7" s="1"/>
  <c r="Q26" i="7"/>
  <c r="W26" i="7" s="1"/>
  <c r="W8" i="7"/>
  <c r="Q28" i="7"/>
  <c r="W28" i="7" s="1"/>
  <c r="Q16" i="7"/>
  <c r="W16" i="7" s="1"/>
  <c r="Q36" i="7"/>
  <c r="W36" i="7" s="1"/>
  <c r="Q32" i="7"/>
  <c r="W32" i="7" s="1"/>
  <c r="Q15" i="7"/>
  <c r="W15" i="7" s="1"/>
  <c r="Q31" i="7"/>
  <c r="W31" i="7" s="1"/>
  <c r="Q14" i="7"/>
  <c r="W14" i="7" s="1"/>
  <c r="Q39" i="7"/>
  <c r="W39" i="7" s="1"/>
  <c r="Q13" i="7"/>
  <c r="W13" i="7" s="1"/>
  <c r="W5" i="7"/>
  <c r="Q33" i="7"/>
  <c r="W33" i="7" s="1"/>
  <c r="Q12" i="7"/>
  <c r="W12" i="7" s="1"/>
  <c r="Q17" i="7"/>
  <c r="W17" i="7" s="1"/>
  <c r="Q29" i="7"/>
  <c r="W29" i="7" s="1"/>
  <c r="Q23" i="7"/>
  <c r="W23" i="7" s="1"/>
  <c r="Q9" i="7"/>
  <c r="W9" i="7" s="1"/>
  <c r="O40" i="7"/>
  <c r="P40" i="7" s="1"/>
  <c r="Q25" i="7"/>
  <c r="W25" i="7" s="1"/>
  <c r="Q4" i="7"/>
  <c r="W4" i="7" s="1"/>
  <c r="W6" i="7"/>
  <c r="N30" i="7"/>
  <c r="O30" i="7"/>
  <c r="P30" i="7" s="1"/>
  <c r="O36" i="7"/>
  <c r="P36" i="7" s="1"/>
  <c r="O35" i="7"/>
  <c r="P35" i="7" s="1"/>
  <c r="O34" i="7"/>
  <c r="P34" i="7" s="1"/>
  <c r="O25" i="7"/>
  <c r="P25" i="7" s="1"/>
  <c r="N24" i="7"/>
  <c r="W22" i="7"/>
  <c r="O29" i="7"/>
  <c r="P29" i="7" s="1"/>
  <c r="N13" i="7"/>
  <c r="N18" i="7"/>
  <c r="O26" i="7"/>
  <c r="P26" i="7" s="1"/>
  <c r="O17" i="7"/>
  <c r="P17" i="7" s="1"/>
  <c r="O15" i="7"/>
  <c r="P15" i="7" s="1"/>
  <c r="O9" i="7"/>
  <c r="P9" i="7" s="1"/>
  <c r="O23" i="7"/>
  <c r="P23" i="7" s="1"/>
  <c r="O31" i="7"/>
  <c r="P31" i="7" s="1"/>
  <c r="O39" i="7"/>
  <c r="P39" i="7" s="1"/>
  <c r="O33" i="7"/>
  <c r="P33" i="7" s="1"/>
  <c r="O41" i="7"/>
  <c r="P41" i="7" s="1"/>
  <c r="O29" i="8"/>
  <c r="P29" i="8" s="1"/>
  <c r="O17" i="8"/>
  <c r="O9" i="8"/>
  <c r="O4" i="8"/>
  <c r="O21" i="7"/>
  <c r="P21" i="7" s="1"/>
  <c r="O27" i="8"/>
  <c r="P27" i="8" s="1"/>
  <c r="O26" i="8"/>
  <c r="P26" i="8" s="1"/>
  <c r="O23" i="8"/>
  <c r="O28" i="8"/>
  <c r="P28" i="8" s="1"/>
  <c r="O13" i="8"/>
  <c r="P13" i="8" s="1"/>
  <c r="O15" i="8"/>
  <c r="P15" i="8" s="1"/>
  <c r="O21" i="8"/>
  <c r="P21" i="8" s="1"/>
  <c r="O5" i="8"/>
  <c r="P5" i="8" s="1"/>
  <c r="O11" i="8"/>
  <c r="P11" i="8" s="1"/>
  <c r="P8" i="8"/>
  <c r="O16" i="8"/>
  <c r="P16" i="8" s="1"/>
  <c r="O18" i="8"/>
  <c r="P18" i="8" s="1"/>
  <c r="O7" i="8"/>
  <c r="P7" i="8" s="1"/>
  <c r="O22" i="8"/>
  <c r="P22" i="8" s="1"/>
  <c r="O14" i="8"/>
  <c r="P14" i="8" s="1"/>
  <c r="O19" i="8"/>
  <c r="P19" i="8" s="1"/>
  <c r="O12" i="8"/>
  <c r="P12" i="8" s="1"/>
  <c r="O16" i="7"/>
  <c r="P16" i="7" s="1"/>
  <c r="M10" i="7"/>
  <c r="Q10" i="7" s="1"/>
  <c r="O14" i="7"/>
  <c r="P14" i="7" s="1"/>
  <c r="O8" i="7"/>
  <c r="P8" i="7" s="1"/>
  <c r="O5" i="7"/>
  <c r="P5" i="7" s="1"/>
  <c r="O4" i="7"/>
  <c r="P4" i="7" s="1"/>
  <c r="O12" i="7"/>
  <c r="P12" i="7" s="1"/>
  <c r="P7" i="7"/>
  <c r="B2" i="7"/>
  <c r="E2" i="7" s="1"/>
  <c r="O6" i="7"/>
  <c r="P6" i="7" s="1"/>
  <c r="P25" i="8"/>
  <c r="P10" i="8"/>
  <c r="N4" i="7"/>
  <c r="N32" i="5"/>
  <c r="Q25" i="8"/>
  <c r="W25" i="8" s="1"/>
  <c r="B2" i="8"/>
  <c r="E2" i="8" s="1"/>
  <c r="W7" i="7"/>
  <c r="N8" i="7"/>
  <c r="N17" i="8"/>
  <c r="P17" i="8"/>
  <c r="N12" i="8"/>
  <c r="N21" i="8"/>
  <c r="N27" i="8"/>
  <c r="N10" i="8"/>
  <c r="Q10" i="8"/>
  <c r="N8" i="8"/>
  <c r="Q19" i="8"/>
  <c r="W19" i="8" s="1"/>
  <c r="Q8" i="8"/>
  <c r="W8" i="8" s="1"/>
  <c r="N15" i="8"/>
  <c r="N25" i="8"/>
  <c r="N23" i="8"/>
  <c r="Q7" i="8"/>
  <c r="W7" i="8" s="1"/>
  <c r="P23" i="8"/>
  <c r="W4" i="8"/>
  <c r="P6" i="8"/>
  <c r="P20" i="8"/>
  <c r="P24" i="8"/>
  <c r="N5" i="8"/>
  <c r="Q6" i="8"/>
  <c r="W6" i="8" s="1"/>
  <c r="Q16" i="8"/>
  <c r="W16" i="8" s="1"/>
  <c r="Q20" i="8"/>
  <c r="W20" i="8" s="1"/>
  <c r="Q24" i="8"/>
  <c r="W24" i="8" s="1"/>
  <c r="Q28" i="8"/>
  <c r="W28" i="8" s="1"/>
  <c r="N6" i="8"/>
  <c r="P4" i="8"/>
  <c r="P9" i="8"/>
  <c r="N20" i="8"/>
  <c r="N24" i="8"/>
  <c r="N4" i="8"/>
  <c r="N9" i="8"/>
  <c r="N14" i="8"/>
  <c r="N18" i="8"/>
  <c r="N22" i="8"/>
  <c r="N26" i="8"/>
  <c r="N6" i="7"/>
  <c r="N5" i="7"/>
  <c r="N7" i="7"/>
  <c r="Q32" i="5"/>
  <c r="Y32" i="5" s="1"/>
  <c r="Q31" i="5"/>
  <c r="Y31" i="5" s="1"/>
  <c r="Q30" i="5"/>
  <c r="Y30" i="5" s="1"/>
  <c r="O29" i="5"/>
  <c r="P29" i="5" s="1"/>
  <c r="N29" i="5"/>
  <c r="S23" i="5"/>
  <c r="O31" i="5"/>
  <c r="P31" i="5" s="1"/>
  <c r="O30" i="5"/>
  <c r="P30" i="5" s="1"/>
  <c r="Q27" i="5"/>
  <c r="O28" i="5"/>
  <c r="P28" i="5" s="1"/>
  <c r="Q28" i="5"/>
  <c r="Q26" i="5"/>
  <c r="O27" i="5"/>
  <c r="P27" i="5" s="1"/>
  <c r="O26" i="5"/>
  <c r="P26" i="5" s="1"/>
  <c r="Q25" i="5"/>
  <c r="O24" i="5"/>
  <c r="P24" i="5" s="1"/>
  <c r="Q22" i="5"/>
  <c r="Q24" i="5"/>
  <c r="O25" i="5"/>
  <c r="P25" i="5" s="1"/>
  <c r="O23" i="5"/>
  <c r="P23" i="5" s="1"/>
  <c r="Q23" i="5"/>
  <c r="O22" i="5"/>
  <c r="P22" i="5" s="1"/>
  <c r="Q20" i="5"/>
  <c r="O20" i="5"/>
  <c r="P20" i="5" s="1"/>
  <c r="Q21" i="5"/>
  <c r="O21" i="5"/>
  <c r="P21" i="5" s="1"/>
  <c r="D10" i="6"/>
  <c r="B6" i="6" a="1"/>
  <c r="D8" i="6" a="1"/>
  <c r="W10" i="7" l="1"/>
  <c r="O10" i="7"/>
  <c r="P10" i="7" s="1"/>
  <c r="N10" i="7"/>
  <c r="O11" i="7"/>
  <c r="P11" i="7" s="1"/>
  <c r="N11" i="7"/>
  <c r="Z5" i="8"/>
  <c r="W2" i="8"/>
  <c r="Y28" i="5"/>
  <c r="Y18" i="5"/>
  <c r="Y2" i="5" s="1"/>
  <c r="X27" i="5"/>
  <c r="D8" i="6"/>
  <c r="B6" i="6"/>
  <c r="C6" i="6" a="1"/>
  <c r="Z4" i="7" l="1"/>
  <c r="W11" i="7"/>
  <c r="W2" i="7" s="1"/>
  <c r="W3" i="7" s="1"/>
  <c r="Z5" i="7" s="1"/>
  <c r="W3" i="8"/>
  <c r="Z6" i="8" s="1"/>
  <c r="Z11" i="8" s="1"/>
  <c r="Z12" i="8" s="1"/>
  <c r="Z13" i="8" s="1"/>
  <c r="C6" i="6"/>
  <c r="R6" i="5"/>
  <c r="R4" i="5"/>
  <c r="R5" i="5"/>
  <c r="R7" i="5"/>
  <c r="R8" i="5"/>
  <c r="R11" i="5"/>
  <c r="R13" i="5"/>
  <c r="R10" i="5"/>
  <c r="R19" i="5"/>
  <c r="R12" i="5"/>
  <c r="R18" i="5"/>
  <c r="R9" i="5"/>
  <c r="R14" i="5"/>
  <c r="R16" i="5"/>
  <c r="R15" i="5"/>
  <c r="R17" i="5"/>
  <c r="M16" i="5"/>
  <c r="N16" i="5" s="1"/>
  <c r="E16" i="5"/>
  <c r="F16" i="5"/>
  <c r="S16" i="5" s="1"/>
  <c r="M19" i="5"/>
  <c r="O19" i="5" s="1"/>
  <c r="P19" i="5" s="1"/>
  <c r="E19" i="5"/>
  <c r="F19" i="5"/>
  <c r="S19" i="5" s="1"/>
  <c r="M18" i="5"/>
  <c r="N18" i="5" s="1"/>
  <c r="E18" i="5"/>
  <c r="F18" i="5"/>
  <c r="S18" i="5" s="1"/>
  <c r="E17" i="5"/>
  <c r="M17" i="5"/>
  <c r="N17" i="5" s="1"/>
  <c r="F17" i="5"/>
  <c r="E4" i="5"/>
  <c r="E5" i="5"/>
  <c r="E7" i="5"/>
  <c r="E8" i="5"/>
  <c r="E11" i="5"/>
  <c r="E10" i="5"/>
  <c r="E12" i="5"/>
  <c r="E9" i="5"/>
  <c r="E14" i="5"/>
  <c r="E13" i="5"/>
  <c r="E15" i="5"/>
  <c r="E6" i="5"/>
  <c r="M15" i="5"/>
  <c r="N15" i="5" s="1"/>
  <c r="F15" i="5"/>
  <c r="S15" i="5" s="1"/>
  <c r="M13" i="5"/>
  <c r="F13" i="5"/>
  <c r="S13" i="5" s="1"/>
  <c r="M14" i="5"/>
  <c r="F14" i="5"/>
  <c r="S14" i="5" s="1"/>
  <c r="D9" i="6" a="1"/>
  <c r="Z10" i="7" l="1"/>
  <c r="Z12" i="7" s="1"/>
  <c r="Z14" i="7" s="1"/>
  <c r="B2" i="5"/>
  <c r="S17" i="5"/>
  <c r="D9" i="6"/>
  <c r="Q19" i="5"/>
  <c r="X19" i="5" s="1"/>
  <c r="O16" i="5"/>
  <c r="P16" i="5" s="1"/>
  <c r="Q17" i="5"/>
  <c r="Q18" i="5"/>
  <c r="X18" i="5" s="1"/>
  <c r="O18" i="5"/>
  <c r="P18" i="5" s="1"/>
  <c r="Q16" i="5"/>
  <c r="N19" i="5"/>
  <c r="O17" i="5"/>
  <c r="P17" i="5" s="1"/>
  <c r="Q15" i="5"/>
  <c r="O15" i="5"/>
  <c r="P15" i="5" s="1"/>
  <c r="N14" i="5"/>
  <c r="N13" i="5"/>
  <c r="O14" i="5"/>
  <c r="P14" i="5" s="1"/>
  <c r="O13" i="5"/>
  <c r="P13" i="5" s="1"/>
  <c r="M10" i="5"/>
  <c r="N10" i="5" s="1"/>
  <c r="F4" i="5"/>
  <c r="F5" i="5"/>
  <c r="F9" i="5"/>
  <c r="S9" i="5" s="1"/>
  <c r="F7" i="5"/>
  <c r="F8" i="5"/>
  <c r="F10" i="5"/>
  <c r="F11" i="5"/>
  <c r="F12" i="5"/>
  <c r="F6" i="5"/>
  <c r="M12" i="5"/>
  <c r="N12" i="5" s="1"/>
  <c r="M11" i="5"/>
  <c r="N11" i="5" s="1"/>
  <c r="M8" i="5"/>
  <c r="N8" i="5" s="1"/>
  <c r="M7" i="5"/>
  <c r="N7" i="5" s="1"/>
  <c r="M9" i="5"/>
  <c r="N9" i="5" s="1"/>
  <c r="M4" i="5"/>
  <c r="N4" i="5" s="1"/>
  <c r="M5" i="5"/>
  <c r="N5" i="5" s="1"/>
  <c r="M6" i="5"/>
  <c r="N6" i="5" s="1"/>
  <c r="D11" i="6" a="1"/>
  <c r="E2" i="5" l="1"/>
  <c r="AC5" i="5"/>
  <c r="AC10" i="5" s="1"/>
  <c r="AC11" i="5" s="1"/>
  <c r="AC12" i="5" s="1"/>
  <c r="S12" i="5"/>
  <c r="X23" i="5"/>
  <c r="X16" i="5"/>
  <c r="X17" i="5"/>
  <c r="X25" i="5"/>
  <c r="X20" i="5"/>
  <c r="S10" i="5"/>
  <c r="S8" i="5"/>
  <c r="D11" i="6"/>
  <c r="F11" i="6" s="1"/>
  <c r="S11" i="5"/>
  <c r="S7" i="5"/>
  <c r="O11" i="5"/>
  <c r="P11" i="5" s="1"/>
  <c r="Q8" i="5"/>
  <c r="O8" i="5"/>
  <c r="P8" i="5" s="1"/>
  <c r="O12" i="5"/>
  <c r="P12" i="5" s="1"/>
  <c r="Q7" i="5"/>
  <c r="O7" i="5"/>
  <c r="P7" i="5" s="1"/>
  <c r="Q6" i="5"/>
  <c r="O6" i="5"/>
  <c r="P6" i="5" s="1"/>
  <c r="Q5" i="5"/>
  <c r="O5" i="5"/>
  <c r="P5" i="5" s="1"/>
  <c r="Q4" i="5"/>
  <c r="O4" i="5"/>
  <c r="P4" i="5" s="1"/>
  <c r="Q9" i="5"/>
  <c r="X24" i="5" s="1"/>
  <c r="O9" i="5"/>
  <c r="P9" i="5" s="1"/>
  <c r="O10" i="5"/>
  <c r="P10" i="5" s="1"/>
  <c r="S5" i="5"/>
  <c r="S4" i="5"/>
  <c r="S6" i="5"/>
  <c r="X7" i="5" l="1"/>
  <c r="X5" i="5"/>
  <c r="X4" i="5"/>
  <c r="X6" i="5"/>
  <c r="X26" i="5"/>
  <c r="X8" i="5"/>
  <c r="D14" i="6"/>
  <c r="D15" i="6" s="1"/>
  <c r="F8" i="6"/>
  <c r="F14" i="6" l="1"/>
  <c r="F15" i="6" s="1"/>
  <c r="Q13" i="5" l="1"/>
  <c r="Q14" i="5"/>
  <c r="Q10" i="5"/>
  <c r="X10" i="5" s="1"/>
  <c r="Q12" i="5"/>
  <c r="X12" i="5" s="1"/>
  <c r="Q11" i="5"/>
  <c r="X14" i="5" s="1"/>
  <c r="X2" i="5" l="1"/>
  <c r="X15" i="5"/>
  <c r="X28" i="5"/>
  <c r="X13" i="5"/>
  <c r="X22" i="5"/>
  <c r="X11" i="5"/>
  <c r="X21" i="5"/>
  <c r="X9" i="5"/>
  <c r="AC4" i="5"/>
  <c r="AB4" i="5"/>
  <c r="X3" i="5" l="1"/>
  <c r="AB5" i="5"/>
  <c r="AB10" i="5" s="1"/>
  <c r="AB11" i="5" s="1"/>
  <c r="AB1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<sst xmlns="http://schemas.openxmlformats.org/spreadsheetml/2006/main" count="501" uniqueCount="92">
  <si>
    <t>EUR</t>
  </si>
  <si>
    <t>USD</t>
  </si>
  <si>
    <t>Währung</t>
  </si>
  <si>
    <t>Kurs</t>
  </si>
  <si>
    <t>Strike</t>
  </si>
  <si>
    <t>Aktie</t>
  </si>
  <si>
    <t>Ende</t>
  </si>
  <si>
    <t>Dividende</t>
  </si>
  <si>
    <t>Provision</t>
  </si>
  <si>
    <t>DWS</t>
  </si>
  <si>
    <t>PUT</t>
  </si>
  <si>
    <t>Prämie</t>
  </si>
  <si>
    <t>Laufzeit</t>
  </si>
  <si>
    <t>BAS</t>
  </si>
  <si>
    <t>BASF</t>
  </si>
  <si>
    <t>EOAN</t>
  </si>
  <si>
    <t>E.ON</t>
  </si>
  <si>
    <t>P</t>
  </si>
  <si>
    <t>IFX</t>
  </si>
  <si>
    <t>Infineon</t>
  </si>
  <si>
    <t>LHA</t>
  </si>
  <si>
    <t>Lufthansa</t>
  </si>
  <si>
    <t>TUI1</t>
  </si>
  <si>
    <t>TUI</t>
  </si>
  <si>
    <t>AMD</t>
  </si>
  <si>
    <t>KHC</t>
  </si>
  <si>
    <t>Kraft Heinz</t>
  </si>
  <si>
    <t>ZS</t>
  </si>
  <si>
    <t>Zscaler</t>
  </si>
  <si>
    <t>Restlaufzeit</t>
  </si>
  <si>
    <t>Datum</t>
  </si>
  <si>
    <t>Knz</t>
  </si>
  <si>
    <t>Put / Call</t>
  </si>
  <si>
    <t>Anzahl</t>
  </si>
  <si>
    <t>Summe / Währung</t>
  </si>
  <si>
    <t>Summe / EUR</t>
  </si>
  <si>
    <t>Umrechnung USD EUR</t>
  </si>
  <si>
    <t>Mögliche Prämie</t>
  </si>
  <si>
    <t>Gewonnene Prämie</t>
  </si>
  <si>
    <t>GOOGL</t>
  </si>
  <si>
    <t xml:space="preserve">Alphabet </t>
  </si>
  <si>
    <t>Risiko- kapital</t>
  </si>
  <si>
    <t>Jahres-rendite</t>
  </si>
  <si>
    <t>NKE</t>
  </si>
  <si>
    <t>Nike</t>
  </si>
  <si>
    <t>MBG</t>
  </si>
  <si>
    <t>Mercedes</t>
  </si>
  <si>
    <t>C</t>
  </si>
  <si>
    <t>Break- Even</t>
  </si>
  <si>
    <t>-</t>
  </si>
  <si>
    <t>Ex-Dividende</t>
  </si>
  <si>
    <t>Mögl. Dividende</t>
  </si>
  <si>
    <t xml:space="preserve">Steuerfreibetrag </t>
  </si>
  <si>
    <t>Quellensteuer</t>
  </si>
  <si>
    <t>Quellensteuersatz</t>
  </si>
  <si>
    <t>DBK</t>
  </si>
  <si>
    <t>Deutsche Bank</t>
  </si>
  <si>
    <t>CON</t>
  </si>
  <si>
    <t>Continental</t>
  </si>
  <si>
    <t>Prämie 2024</t>
  </si>
  <si>
    <t>Prämie 2025</t>
  </si>
  <si>
    <t>SUMME</t>
  </si>
  <si>
    <t>Break-Even</t>
  </si>
  <si>
    <t>Zeile</t>
  </si>
  <si>
    <t>Gewin / Verlust</t>
  </si>
  <si>
    <t>pro Aktie</t>
  </si>
  <si>
    <t>100 Aktien</t>
  </si>
  <si>
    <t>Prämie je Aktie</t>
  </si>
  <si>
    <t>TKA</t>
  </si>
  <si>
    <t>Thyssen Krupp AG</t>
  </si>
  <si>
    <t>inkl. Dividende (Netto)</t>
  </si>
  <si>
    <t>VNA</t>
  </si>
  <si>
    <t>Vonovia SE</t>
  </si>
  <si>
    <t>BOSS</t>
  </si>
  <si>
    <t>Hugo Boss</t>
  </si>
  <si>
    <t>Gewonnen</t>
  </si>
  <si>
    <t>Prämie Netto</t>
  </si>
  <si>
    <t>Prämie monatl.</t>
  </si>
  <si>
    <t>Ø</t>
  </si>
  <si>
    <t>Tage Ø</t>
  </si>
  <si>
    <t>PC</t>
  </si>
  <si>
    <t>Mercedes Benz</t>
  </si>
  <si>
    <t>Vonovia</t>
  </si>
  <si>
    <t>EON</t>
  </si>
  <si>
    <t>DTE</t>
  </si>
  <si>
    <t>Deutsche Telekom</t>
  </si>
  <si>
    <t>INTC</t>
  </si>
  <si>
    <t>Intel</t>
  </si>
  <si>
    <t>MDB</t>
  </si>
  <si>
    <t>Mongo DB</t>
  </si>
  <si>
    <t>ORCL</t>
  </si>
  <si>
    <t>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</si>
</sst>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407]_-;\-* #,##0.00\ [$€-407]_-;_-* &quot;-&quot;??\ [$€-407]_-;_-@_-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1" applyNumberFormat="0" applyAlignment="0" applyProtection="0"/>
    <xf numFmtId="0" fontId="2" fillId="2" borderId="0" applyNumberFormat="0" applyBorder="0" applyAlignment="0" applyProtection="0"/>
    <xf numFmtId="0" fontId="5" fillId="5" borderId="0" applyNumberFormat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14" fontId="0" fillId="0" borderId="0" xfId="0" applyNumberFormat="1"/>
    <xf numFmtId="44" fontId="0" fillId="0" borderId="0" xfId="1" applyFont="1" applyFill="1"/>
    <xf numFmtId="44" fontId="0" fillId="4" borderId="2" xfId="1" applyFont="1" applyFill="1" applyBorder="1"/>
    <xf numFmtId="44" fontId="2" fillId="2" borderId="0" xfId="1" applyFont="1" applyFill="1"/>
    <xf numFmtId="164" fontId="0" fillId="0" borderId="0" xfId="0" applyNumberFormat="1"/>
    <xf numFmtId="0" fontId="5" fillId="5" borderId="0" xfId="5"/>
    <xf numFmtId="14" fontId="5" fillId="5" borderId="0" xfId="5" applyNumberFormat="1"/>
    <xf numFmtId="44" fontId="5" fillId="5" borderId="0" xfId="5" applyNumberFormat="1"/>
    <xf numFmtId="10" fontId="5" fillId="5" borderId="0" xfId="5" applyNumberFormat="1"/>
    <xf numFmtId="164" fontId="5" fillId="5" borderId="0" xfId="5" applyNumberFormat="1" applyBorder="1"/>
    <xf numFmtId="44" fontId="0" fillId="0" borderId="0" xfId="1" applyFont="1" applyBorder="1"/>
    <xf numFmtId="0" fontId="3" fillId="3" borderId="3" xfId="3" applyBorder="1" applyAlignment="1">
      <alignment horizontal="center" vertical="center" wrapText="1"/>
    </xf>
    <xf numFmtId="14" fontId="3" fillId="3" borderId="3" xfId="3" applyNumberFormat="1" applyBorder="1" applyAlignment="1">
      <alignment horizontal="center" vertical="center" wrapText="1"/>
    </xf>
    <xf numFmtId="44" fontId="3" fillId="3" borderId="3" xfId="1" applyFont="1" applyFill="1" applyBorder="1" applyAlignment="1">
      <alignment horizontal="center" vertical="center" wrapText="1"/>
    </xf>
    <xf numFmtId="10" fontId="3" fillId="3" borderId="3" xfId="2" applyNumberFormat="1" applyFont="1" applyFill="1" applyBorder="1" applyAlignment="1">
      <alignment horizontal="center" vertical="center" wrapText="1"/>
    </xf>
    <xf numFmtId="164" fontId="3" fillId="3" borderId="3" xfId="3" applyNumberFormat="1" applyBorder="1" applyAlignment="1">
      <alignment horizontal="center" vertical="center" wrapText="1"/>
    </xf>
    <xf numFmtId="0" fontId="8" fillId="6" borderId="4" xfId="0" applyFont="1" applyFill="1" applyBorder="1" applyAlignment="1">
      <alignment vertical="center"/>
    </xf>
    <xf numFmtId="44" fontId="8" fillId="6" borderId="4" xfId="1" applyFont="1" applyFill="1" applyBorder="1" applyAlignment="1">
      <alignment vertical="center"/>
    </xf>
    <xf numFmtId="0" fontId="0" fillId="7" borderId="0" xfId="0" applyFill="1" applyAlignment="1">
      <alignment vertical="center"/>
    </xf>
    <xf numFmtId="44" fontId="0" fillId="7" borderId="0" xfId="1" applyFont="1" applyFill="1" applyAlignment="1">
      <alignment vertical="center"/>
    </xf>
    <xf numFmtId="0" fontId="0" fillId="7" borderId="5" xfId="0" applyFill="1" applyBorder="1" applyAlignment="1">
      <alignment vertical="center"/>
    </xf>
    <xf numFmtId="0" fontId="7" fillId="7" borderId="0" xfId="0" applyFont="1" applyFill="1" applyAlignment="1">
      <alignment vertical="center"/>
    </xf>
    <xf numFmtId="44" fontId="0" fillId="7" borderId="0" xfId="1" applyFont="1" applyFill="1" applyAlignment="1" applyProtection="1">
      <alignment vertical="center"/>
    </xf>
    <xf numFmtId="10" fontId="0" fillId="7" borderId="0" xfId="2" applyNumberFormat="1" applyFont="1" applyFill="1" applyAlignment="1">
      <alignment vertical="center"/>
    </xf>
    <xf numFmtId="44" fontId="0" fillId="7" borderId="0" xfId="0" applyNumberFormat="1" applyFill="1" applyAlignment="1">
      <alignment vertical="center"/>
    </xf>
    <xf numFmtId="0" fontId="6" fillId="7" borderId="5" xfId="0" applyFont="1" applyFill="1" applyBorder="1" applyAlignment="1">
      <alignment vertical="center"/>
    </xf>
    <xf numFmtId="10" fontId="0" fillId="0" borderId="0" xfId="2" applyNumberFormat="1" applyFont="1" applyBorder="1"/>
    <xf numFmtId="44" fontId="4" fillId="0" borderId="0" xfId="1" applyFont="1" applyFill="1" applyBorder="1"/>
    <xf numFmtId="14" fontId="0" fillId="0" borderId="0" xfId="6" applyNumberFormat="1" applyFont="1"/>
    <xf numFmtId="9" fontId="0" fillId="0" borderId="0" xfId="2" applyFont="1"/>
    <xf numFmtId="44" fontId="0" fillId="0" borderId="0" xfId="1" applyFont="1" applyFill="1" applyBorder="1"/>
    <xf numFmtId="49" fontId="0" fillId="0" borderId="0" xfId="6" applyNumberFormat="1" applyFont="1" applyFill="1" applyAlignment="1">
      <alignment horizontal="right"/>
    </xf>
    <xf numFmtId="165" fontId="9" fillId="2" borderId="7" xfId="6" applyNumberFormat="1" applyFont="1" applyFill="1" applyBorder="1" applyAlignment="1">
      <alignment vertical="center" wrapText="1"/>
    </xf>
    <xf numFmtId="44" fontId="2" fillId="2" borderId="7" xfId="4" applyNumberFormat="1" applyBorder="1" applyAlignment="1">
      <alignment vertical="center" wrapText="1"/>
    </xf>
    <xf numFmtId="44" fontId="2" fillId="2" borderId="7" xfId="4" applyNumberFormat="1" applyBorder="1" applyAlignment="1">
      <alignment horizontal="center" vertical="center" wrapText="1"/>
    </xf>
    <xf numFmtId="44" fontId="2" fillId="2" borderId="8" xfId="4" applyNumberFormat="1" applyBorder="1" applyAlignment="1">
      <alignment vertical="center" wrapText="1"/>
    </xf>
    <xf numFmtId="165" fontId="9" fillId="2" borderId="8" xfId="6" applyNumberFormat="1" applyFont="1" applyFill="1" applyBorder="1" applyAlignment="1">
      <alignment vertical="center" wrapText="1"/>
    </xf>
    <xf numFmtId="44" fontId="2" fillId="2" borderId="8" xfId="4" applyNumberFormat="1" applyBorder="1" applyAlignment="1">
      <alignment horizontal="right" vertical="center" wrapText="1"/>
    </xf>
    <xf numFmtId="44" fontId="2" fillId="2" borderId="8" xfId="4" applyNumberFormat="1" applyBorder="1" applyAlignment="1">
      <alignment horizontal="center" vertical="center" wrapText="1"/>
    </xf>
    <xf numFmtId="44" fontId="2" fillId="2" borderId="9" xfId="4" applyNumberFormat="1" applyBorder="1" applyAlignment="1">
      <alignment horizontal="center" vertical="center" wrapText="1"/>
    </xf>
    <xf numFmtId="44" fontId="2" fillId="2" borderId="6" xfId="4" applyNumberFormat="1" applyBorder="1" applyAlignment="1">
      <alignment horizontal="center" vertical="center" wrapText="1"/>
    </xf>
    <xf numFmtId="0" fontId="0" fillId="8" borderId="0" xfId="0" applyFill="1"/>
    <xf numFmtId="44" fontId="0" fillId="8" borderId="0" xfId="0" applyNumberFormat="1" applyFill="1"/>
    <xf numFmtId="43" fontId="2" fillId="2" borderId="7" xfId="6" applyFont="1" applyFill="1" applyBorder="1" applyAlignment="1">
      <alignment horizontal="right" vertical="center" wrapText="1"/>
    </xf>
    <xf numFmtId="43" fontId="2" fillId="2" borderId="8" xfId="6" applyFont="1" applyFill="1" applyBorder="1" applyAlignment="1">
      <alignment horizontal="right" vertical="center" wrapText="1"/>
    </xf>
    <xf numFmtId="43" fontId="2" fillId="2" borderId="7" xfId="6" applyFont="1" applyFill="1" applyBorder="1" applyAlignment="1">
      <alignment horizontal="center" vertical="center" wrapText="1"/>
    </xf>
    <xf numFmtId="43" fontId="2" fillId="2" borderId="8" xfId="6" applyFont="1" applyFill="1" applyBorder="1" applyAlignment="1">
      <alignment horizontal="center" vertical="center" wrapText="1"/>
    </xf>
    <xf numFmtId="44" fontId="2" fillId="2" borderId="7" xfId="4" applyNumberFormat="1" applyBorder="1" applyAlignment="1">
      <alignment horizontal="center" vertical="center" wrapText="1"/>
    </xf>
    <xf numFmtId="44" fontId="2" fillId="2" borderId="8" xfId="4" applyNumberFormat="1" applyBorder="1" applyAlignment="1">
      <alignment horizontal="center" vertical="center" wrapText="1"/>
    </xf>
  </cellXfs>
  <cellStyles count="7">
    <cellStyle name="Ausgabe" xfId="3" builtinId="21"/>
    <cellStyle name="Gut" xfId="4" builtinId="26"/>
    <cellStyle name="Komma" xfId="6" builtinId="3"/>
    <cellStyle name="Prozent" xfId="2" builtinId="5"/>
    <cellStyle name="Schlecht" xfId="5" builtinId="27"/>
    <cellStyle name="Standard" xfId="0" builtinId="0"/>
    <cellStyle name="Währung" xfId="1" builtinId="4"/>
  </cellStyles>
  <dxfs count="27"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4" tint="0.59996337778862885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4" tint="0.59996337778862885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4" tint="0.59996337778862885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  <dxf>
      <font>
        <b/>
        <i val="0"/>
        <strike val="0"/>
        <color theme="5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5697-FF21-48C8-BAE6-F041839AE6B9}">
  <dimension ref="A1:AC32"/>
  <sheetViews>
    <sheetView workbookViewId="0">
      <selection activeCell="Q11" sqref="Q11"/>
    </sheetView>
  </sheetViews>
  <sheetFormatPr baseColWidth="10" defaultRowHeight="15" x14ac:dyDescent="0.25"/>
  <cols>
    <col min="1" max="1" width="8.7109375" bestFit="1" customWidth="1"/>
    <col min="2" max="2" width="10.7109375" bestFit="1" customWidth="1"/>
    <col min="3" max="4" width="12" style="4" customWidth="1"/>
    <col min="5" max="5" width="10.7109375" customWidth="1"/>
    <col min="6" max="6" width="16.140625" bestFit="1" customWidth="1"/>
    <col min="7" max="7" width="8.28515625" customWidth="1"/>
    <col min="8" max="8" width="13.7109375" bestFit="1" customWidth="1"/>
    <col min="9" max="9" width="11.140625" style="1" bestFit="1" customWidth="1"/>
    <col min="10" max="10" width="11.5703125" bestFit="1" customWidth="1"/>
    <col min="11" max="11" width="12.28515625" style="1" bestFit="1" customWidth="1"/>
    <col min="12" max="12" width="14.28515625" style="1" bestFit="1" customWidth="1"/>
    <col min="13" max="13" width="14" style="1" bestFit="1" customWidth="1"/>
    <col min="14" max="14" width="11.140625" style="1" customWidth="1"/>
    <col min="15" max="15" width="12" style="1" bestFit="1" customWidth="1"/>
    <col min="16" max="16" width="10.42578125" style="3" customWidth="1"/>
    <col min="17" max="18" width="11.85546875" style="1" customWidth="1"/>
    <col min="19" max="19" width="14.85546875" style="1" bestFit="1" customWidth="1"/>
    <col min="20" max="20" width="5.28515625" style="1" customWidth="1"/>
    <col min="21" max="21" width="10.7109375" style="4" customWidth="1"/>
    <col min="22" max="23" width="10.7109375" style="8" customWidth="1"/>
    <col min="27" max="27" width="20.28515625" bestFit="1" customWidth="1"/>
    <col min="28" max="28" width="11.42578125" style="1"/>
  </cols>
  <sheetData>
    <row r="1" spans="1:29" ht="34.5" customHeight="1" x14ac:dyDescent="0.25">
      <c r="A1" s="15" t="s">
        <v>31</v>
      </c>
      <c r="B1" s="15" t="s">
        <v>5</v>
      </c>
      <c r="C1" s="16" t="s">
        <v>30</v>
      </c>
      <c r="D1" s="16" t="s">
        <v>6</v>
      </c>
      <c r="E1" s="15" t="s">
        <v>12</v>
      </c>
      <c r="F1" s="15" t="s">
        <v>29</v>
      </c>
      <c r="G1" s="15" t="s">
        <v>32</v>
      </c>
      <c r="H1" s="15" t="s">
        <v>2</v>
      </c>
      <c r="I1" s="17" t="s">
        <v>4</v>
      </c>
      <c r="J1" s="15" t="s">
        <v>33</v>
      </c>
      <c r="K1" s="17" t="s">
        <v>11</v>
      </c>
      <c r="L1" s="17" t="s">
        <v>8</v>
      </c>
      <c r="M1" s="17" t="s">
        <v>34</v>
      </c>
      <c r="N1" s="17" t="s">
        <v>48</v>
      </c>
      <c r="O1" s="17" t="s">
        <v>41</v>
      </c>
      <c r="P1" s="18" t="s">
        <v>42</v>
      </c>
      <c r="Q1" s="17" t="s">
        <v>35</v>
      </c>
      <c r="R1" s="17" t="s">
        <v>62</v>
      </c>
      <c r="S1" s="17" t="s">
        <v>75</v>
      </c>
      <c r="T1" s="17"/>
      <c r="U1" s="16" t="s">
        <v>50</v>
      </c>
      <c r="V1" s="19" t="s">
        <v>7</v>
      </c>
      <c r="W1" s="19" t="s">
        <v>51</v>
      </c>
      <c r="X1" s="19" t="s">
        <v>59</v>
      </c>
      <c r="Y1" s="19" t="s">
        <v>60</v>
      </c>
      <c r="AB1" s="5"/>
    </row>
    <row r="2" spans="1:29" ht="20.25" customHeight="1" x14ac:dyDescent="0.25">
      <c r="A2" s="37"/>
      <c r="B2" s="36">
        <f>COUNT(E4:E10000)</f>
        <v>29</v>
      </c>
      <c r="C2" s="37"/>
      <c r="D2" s="47" t="s">
        <v>79</v>
      </c>
      <c r="E2" s="49">
        <f>SUM(E4:E10000)/B2</f>
        <v>124.44827586206897</v>
      </c>
      <c r="F2" s="37"/>
      <c r="G2" s="37"/>
      <c r="H2" s="37"/>
      <c r="I2" s="37"/>
      <c r="J2" s="37"/>
      <c r="K2" s="37"/>
      <c r="L2" s="51">
        <f>SUM(L4:L10000)</f>
        <v>32.560000000000024</v>
      </c>
      <c r="M2" s="37"/>
      <c r="N2" s="37"/>
      <c r="O2" s="37"/>
      <c r="P2" s="37"/>
      <c r="Q2" s="37"/>
      <c r="R2" s="51" t="s">
        <v>61</v>
      </c>
      <c r="S2" s="44"/>
      <c r="T2" s="38"/>
      <c r="U2" s="38"/>
      <c r="V2" s="38"/>
      <c r="W2" s="38"/>
      <c r="X2" s="38">
        <f>SUM(X4:X10000)</f>
        <v>3579.5086999999999</v>
      </c>
      <c r="Y2" s="38">
        <f t="shared" ref="Y2" si="0">SUM(Y4:Y10000)</f>
        <v>260.89999999999998</v>
      </c>
      <c r="AB2"/>
    </row>
    <row r="3" spans="1:29" ht="20.25" customHeight="1" x14ac:dyDescent="0.25">
      <c r="A3" s="39"/>
      <c r="B3" s="40"/>
      <c r="C3" s="39"/>
      <c r="D3" s="48"/>
      <c r="E3" s="50"/>
      <c r="F3" s="39"/>
      <c r="G3" s="39"/>
      <c r="H3" s="39"/>
      <c r="I3" s="39"/>
      <c r="J3" s="39"/>
      <c r="K3" s="39"/>
      <c r="L3" s="52"/>
      <c r="M3" s="39"/>
      <c r="N3" s="39"/>
      <c r="O3" s="39"/>
      <c r="P3" s="39"/>
      <c r="Q3" s="39"/>
      <c r="R3" s="52"/>
      <c r="S3" s="43"/>
      <c r="T3" s="42"/>
      <c r="U3" s="42"/>
      <c r="V3" s="42"/>
      <c r="W3" s="41" t="s">
        <v>78</v>
      </c>
      <c r="X3" s="42">
        <f>X2/B2</f>
        <v>123.43133448275861</v>
      </c>
      <c r="Y3" s="42">
        <f>Y2/B2</f>
        <v>8.9965517241379303</v>
      </c>
      <c r="AA3" t="s">
        <v>36</v>
      </c>
      <c r="AB3" s="6">
        <v>0.93</v>
      </c>
      <c r="AC3" s="6">
        <v>0.93</v>
      </c>
    </row>
    <row r="4" spans="1:29" x14ac:dyDescent="0.25">
      <c r="A4" t="s">
        <v>9</v>
      </c>
      <c r="B4" t="s">
        <v>9</v>
      </c>
      <c r="C4" s="4">
        <v>45364</v>
      </c>
      <c r="D4" s="4">
        <v>45429</v>
      </c>
      <c r="E4">
        <f t="shared" ref="E4:E32" si="1">D4-C4</f>
        <v>65</v>
      </c>
      <c r="F4">
        <f t="shared" ref="F4:F32" ca="1" si="2">IF(D4&gt;TODAY(),D4-TODAY(),0)</f>
        <v>0</v>
      </c>
      <c r="G4" t="s">
        <v>17</v>
      </c>
      <c r="H4" t="s">
        <v>0</v>
      </c>
      <c r="I4" s="1">
        <v>36</v>
      </c>
      <c r="J4">
        <v>1</v>
      </c>
      <c r="K4" s="1">
        <v>32</v>
      </c>
      <c r="L4" s="1">
        <v>1.1000000000000001</v>
      </c>
      <c r="M4" s="1">
        <f t="shared" ref="M4:M32" si="3">(K4-L4)*J4</f>
        <v>30.9</v>
      </c>
      <c r="N4" s="1">
        <f t="shared" ref="N4:N32" si="4">I4-M4/(J4*100)</f>
        <v>35.691000000000003</v>
      </c>
      <c r="O4" s="1">
        <f t="shared" ref="O4:O32" si="5">I4*100-M4</f>
        <v>3569.1</v>
      </c>
      <c r="P4" s="3">
        <f t="shared" ref="P4:P32" si="6">360/(D4-C4)*(K4/O4)</f>
        <v>4.9656991743231974E-2</v>
      </c>
      <c r="Q4" s="1">
        <f t="shared" ref="Q4:Q32" si="7">IF(H4="EUR",M4,M4*$AB$3)</f>
        <v>30.9</v>
      </c>
      <c r="R4" s="1">
        <f t="shared" ref="R4:R32" si="8">IF(G4="P",(I4*100-K4)/100,0)</f>
        <v>35.68</v>
      </c>
      <c r="S4" s="1">
        <f t="shared" ref="S4:S32" ca="1" si="9">IF(F4=0,M4,"")</f>
        <v>30.9</v>
      </c>
      <c r="U4" s="4">
        <v>45450</v>
      </c>
      <c r="V4" s="8">
        <v>2.1</v>
      </c>
      <c r="W4" s="8">
        <f t="shared" ref="W4:W26" si="10">IF(G4="P",V4*100*J4,0)</f>
        <v>210</v>
      </c>
      <c r="X4" s="14">
        <f t="shared" ref="X4:X32" si="11">IF($C4&lt;DATE(2025,1,1),$Q4,0)</f>
        <v>30.9</v>
      </c>
      <c r="Y4" s="14">
        <f t="shared" ref="Y4:Y32" si="12">IF(AND($C4&lt;DATE(2026,1,1),$C4&gt;=DATE(2025,1,1)),$Q4,0)</f>
        <v>0</v>
      </c>
      <c r="AA4" s="4" t="s">
        <v>37</v>
      </c>
      <c r="AB4" s="31">
        <f>SUM(Q:Q)</f>
        <v>3840.4087</v>
      </c>
      <c r="AC4" s="31">
        <f>SUM(Q:Q)</f>
        <v>3840.4087</v>
      </c>
    </row>
    <row r="5" spans="1:29" x14ac:dyDescent="0.25">
      <c r="A5" t="s">
        <v>15</v>
      </c>
      <c r="B5" t="s">
        <v>16</v>
      </c>
      <c r="C5" s="4">
        <v>45371</v>
      </c>
      <c r="D5" s="4">
        <v>45429</v>
      </c>
      <c r="E5">
        <f t="shared" si="1"/>
        <v>58</v>
      </c>
      <c r="F5">
        <f t="shared" ca="1" si="2"/>
        <v>0</v>
      </c>
      <c r="G5" t="s">
        <v>17</v>
      </c>
      <c r="H5" t="s">
        <v>0</v>
      </c>
      <c r="I5" s="1">
        <v>11.2</v>
      </c>
      <c r="J5">
        <v>1</v>
      </c>
      <c r="K5" s="1">
        <v>10</v>
      </c>
      <c r="L5" s="1">
        <v>1.1000000000000001</v>
      </c>
      <c r="M5" s="1">
        <f t="shared" si="3"/>
        <v>8.9</v>
      </c>
      <c r="N5" s="1">
        <f t="shared" si="4"/>
        <v>11.110999999999999</v>
      </c>
      <c r="O5" s="1">
        <f t="shared" si="5"/>
        <v>1111.0999999999999</v>
      </c>
      <c r="P5" s="3">
        <f t="shared" si="6"/>
        <v>5.5862627591793161E-2</v>
      </c>
      <c r="Q5" s="1">
        <f t="shared" si="7"/>
        <v>8.9</v>
      </c>
      <c r="R5" s="1">
        <f t="shared" si="8"/>
        <v>11.1</v>
      </c>
      <c r="S5" s="1">
        <f t="shared" ca="1" si="9"/>
        <v>8.9</v>
      </c>
      <c r="U5" s="4">
        <v>45429</v>
      </c>
      <c r="V5" s="8">
        <v>0.53</v>
      </c>
      <c r="W5" s="8">
        <f t="shared" si="10"/>
        <v>53</v>
      </c>
      <c r="X5" s="14">
        <f t="shared" si="11"/>
        <v>8.9</v>
      </c>
      <c r="Y5" s="14">
        <f t="shared" si="12"/>
        <v>0</v>
      </c>
      <c r="AA5" t="s">
        <v>38</v>
      </c>
      <c r="AB5" s="7">
        <f>SUM(X:X)-X2</f>
        <v>3702.9400344827586</v>
      </c>
      <c r="AC5" s="7">
        <f>SUM(Y:Y)-Y2</f>
        <v>269.89655172413791</v>
      </c>
    </row>
    <row r="6" spans="1:29" x14ac:dyDescent="0.25">
      <c r="A6" t="s">
        <v>13</v>
      </c>
      <c r="B6" t="s">
        <v>14</v>
      </c>
      <c r="C6" s="4">
        <v>45382</v>
      </c>
      <c r="D6" s="4">
        <v>45408</v>
      </c>
      <c r="E6">
        <f t="shared" si="1"/>
        <v>26</v>
      </c>
      <c r="F6">
        <f t="shared" ca="1" si="2"/>
        <v>0</v>
      </c>
      <c r="G6" t="s">
        <v>17</v>
      </c>
      <c r="H6" t="s">
        <v>0</v>
      </c>
      <c r="I6" s="14">
        <v>47</v>
      </c>
      <c r="J6">
        <v>1</v>
      </c>
      <c r="K6" s="14">
        <v>65</v>
      </c>
      <c r="L6" s="14">
        <v>1.1000000000000001</v>
      </c>
      <c r="M6" s="14">
        <f t="shared" si="3"/>
        <v>63.9</v>
      </c>
      <c r="N6" s="14">
        <f t="shared" si="4"/>
        <v>46.360999999999997</v>
      </c>
      <c r="O6" s="14">
        <f t="shared" si="5"/>
        <v>4636.1000000000004</v>
      </c>
      <c r="P6" s="30">
        <f t="shared" si="6"/>
        <v>0.19412868574879746</v>
      </c>
      <c r="Q6" s="14">
        <f t="shared" si="7"/>
        <v>63.9</v>
      </c>
      <c r="R6" s="14">
        <f t="shared" si="8"/>
        <v>46.35</v>
      </c>
      <c r="S6" s="14">
        <f t="shared" ca="1" si="9"/>
        <v>63.9</v>
      </c>
      <c r="T6" s="14"/>
      <c r="U6" s="4">
        <v>45408</v>
      </c>
      <c r="V6" s="8">
        <v>3.4</v>
      </c>
      <c r="W6" s="8">
        <f t="shared" si="10"/>
        <v>340</v>
      </c>
      <c r="X6" s="14">
        <f t="shared" si="11"/>
        <v>63.9</v>
      </c>
      <c r="Y6" s="14">
        <f t="shared" si="12"/>
        <v>0</v>
      </c>
      <c r="AC6" s="1"/>
    </row>
    <row r="7" spans="1:29" x14ac:dyDescent="0.25">
      <c r="A7" t="s">
        <v>18</v>
      </c>
      <c r="B7" t="s">
        <v>19</v>
      </c>
      <c r="C7" s="4">
        <v>45385</v>
      </c>
      <c r="D7" s="4">
        <v>45555</v>
      </c>
      <c r="E7">
        <f t="shared" si="1"/>
        <v>170</v>
      </c>
      <c r="F7">
        <f t="shared" ca="1" si="2"/>
        <v>0</v>
      </c>
      <c r="G7" t="s">
        <v>17</v>
      </c>
      <c r="H7" t="s">
        <v>0</v>
      </c>
      <c r="I7" s="1">
        <v>28</v>
      </c>
      <c r="J7">
        <v>1</v>
      </c>
      <c r="K7" s="1">
        <v>119</v>
      </c>
      <c r="L7" s="1">
        <v>1.1000000000000001</v>
      </c>
      <c r="M7" s="1">
        <f t="shared" si="3"/>
        <v>117.9</v>
      </c>
      <c r="N7" s="1">
        <f t="shared" si="4"/>
        <v>26.821000000000002</v>
      </c>
      <c r="O7" s="1">
        <f t="shared" si="5"/>
        <v>2682.1</v>
      </c>
      <c r="P7" s="3">
        <f t="shared" si="6"/>
        <v>9.3956228328548538E-2</v>
      </c>
      <c r="Q7" s="1">
        <f t="shared" si="7"/>
        <v>117.9</v>
      </c>
      <c r="R7" s="1">
        <f t="shared" si="8"/>
        <v>26.81</v>
      </c>
      <c r="S7" s="1">
        <f t="shared" ca="1" si="9"/>
        <v>117.9</v>
      </c>
      <c r="U7" s="4">
        <v>45348</v>
      </c>
      <c r="V7" s="8">
        <v>0.35</v>
      </c>
      <c r="W7" s="8">
        <f t="shared" si="10"/>
        <v>35</v>
      </c>
      <c r="X7" s="14">
        <f t="shared" si="11"/>
        <v>117.9</v>
      </c>
      <c r="Y7" s="14">
        <f t="shared" si="12"/>
        <v>0</v>
      </c>
      <c r="AC7" s="1"/>
    </row>
    <row r="8" spans="1:29" x14ac:dyDescent="0.25">
      <c r="A8" s="9" t="s">
        <v>20</v>
      </c>
      <c r="B8" s="9" t="s">
        <v>21</v>
      </c>
      <c r="C8" s="10">
        <v>45385</v>
      </c>
      <c r="D8" s="10">
        <v>45555</v>
      </c>
      <c r="E8" s="9">
        <f t="shared" si="1"/>
        <v>170</v>
      </c>
      <c r="F8" s="9">
        <f t="shared" ca="1" si="2"/>
        <v>0</v>
      </c>
      <c r="G8" s="9" t="s">
        <v>17</v>
      </c>
      <c r="H8" s="9" t="s">
        <v>0</v>
      </c>
      <c r="I8" s="11">
        <v>6.4</v>
      </c>
      <c r="J8" s="9">
        <v>4</v>
      </c>
      <c r="K8" s="11">
        <v>32</v>
      </c>
      <c r="L8" s="11">
        <v>1.1000000000000001</v>
      </c>
      <c r="M8" s="11">
        <f t="shared" si="3"/>
        <v>123.6</v>
      </c>
      <c r="N8" s="11">
        <f t="shared" si="4"/>
        <v>6.0910000000000002</v>
      </c>
      <c r="O8" s="11">
        <f t="shared" si="5"/>
        <v>516.4</v>
      </c>
      <c r="P8" s="12">
        <f t="shared" si="6"/>
        <v>0.13122522440424661</v>
      </c>
      <c r="Q8" s="11">
        <f t="shared" si="7"/>
        <v>123.6</v>
      </c>
      <c r="R8" s="11">
        <f t="shared" si="8"/>
        <v>6.08</v>
      </c>
      <c r="S8" s="11">
        <f t="shared" ca="1" si="9"/>
        <v>123.6</v>
      </c>
      <c r="T8" s="11"/>
      <c r="U8" s="10">
        <v>45420</v>
      </c>
      <c r="V8" s="13">
        <v>0.3</v>
      </c>
      <c r="W8" s="8">
        <f t="shared" si="10"/>
        <v>120</v>
      </c>
      <c r="X8" s="14">
        <f t="shared" si="11"/>
        <v>123.6</v>
      </c>
      <c r="Y8" s="14">
        <f t="shared" si="12"/>
        <v>0</v>
      </c>
      <c r="Z8" s="2"/>
      <c r="AA8" t="s">
        <v>52</v>
      </c>
      <c r="AB8" s="1">
        <v>1000</v>
      </c>
      <c r="AC8" s="1">
        <v>1000</v>
      </c>
    </row>
    <row r="9" spans="1:29" x14ac:dyDescent="0.25">
      <c r="A9" t="s">
        <v>15</v>
      </c>
      <c r="B9" t="s">
        <v>16</v>
      </c>
      <c r="C9" s="4">
        <v>45390</v>
      </c>
      <c r="D9" s="4">
        <v>45737</v>
      </c>
      <c r="E9">
        <f t="shared" si="1"/>
        <v>347</v>
      </c>
      <c r="F9">
        <f t="shared" ca="1" si="2"/>
        <v>0</v>
      </c>
      <c r="G9" t="s">
        <v>17</v>
      </c>
      <c r="H9" t="s">
        <v>0</v>
      </c>
      <c r="I9" s="1">
        <v>11</v>
      </c>
      <c r="J9">
        <v>3</v>
      </c>
      <c r="K9" s="1">
        <v>47</v>
      </c>
      <c r="L9" s="1">
        <v>1.1000000000000001</v>
      </c>
      <c r="M9" s="1">
        <f t="shared" si="3"/>
        <v>137.69999999999999</v>
      </c>
      <c r="N9" s="1">
        <f t="shared" si="4"/>
        <v>10.541</v>
      </c>
      <c r="O9" s="1">
        <f t="shared" si="5"/>
        <v>962.3</v>
      </c>
      <c r="P9" s="3">
        <f t="shared" si="6"/>
        <v>5.0671107675804336E-2</v>
      </c>
      <c r="Q9" s="1">
        <f t="shared" si="7"/>
        <v>137.69999999999999</v>
      </c>
      <c r="R9" s="1">
        <f t="shared" si="8"/>
        <v>10.53</v>
      </c>
      <c r="S9" s="1">
        <f t="shared" ca="1" si="9"/>
        <v>137.69999999999999</v>
      </c>
      <c r="U9" s="4">
        <v>45429</v>
      </c>
      <c r="V9" s="8">
        <v>0.53</v>
      </c>
      <c r="W9" s="8">
        <f t="shared" si="10"/>
        <v>159</v>
      </c>
      <c r="X9" s="14">
        <f t="shared" si="11"/>
        <v>137.69999999999999</v>
      </c>
      <c r="Y9" s="14">
        <f t="shared" si="12"/>
        <v>0</v>
      </c>
      <c r="AA9" t="s">
        <v>54</v>
      </c>
      <c r="AB9" s="33">
        <v>0.25</v>
      </c>
      <c r="AC9" s="33">
        <v>0.25</v>
      </c>
    </row>
    <row r="10" spans="1:29" x14ac:dyDescent="0.25">
      <c r="A10" t="s">
        <v>24</v>
      </c>
      <c r="B10" t="s">
        <v>24</v>
      </c>
      <c r="C10" s="4">
        <v>45411</v>
      </c>
      <c r="D10" s="4">
        <v>45646</v>
      </c>
      <c r="E10">
        <f t="shared" si="1"/>
        <v>235</v>
      </c>
      <c r="F10">
        <f t="shared" ca="1" si="2"/>
        <v>0</v>
      </c>
      <c r="G10" t="s">
        <v>17</v>
      </c>
      <c r="H10" t="s">
        <v>1</v>
      </c>
      <c r="I10" s="1">
        <v>110</v>
      </c>
      <c r="J10">
        <v>1</v>
      </c>
      <c r="K10" s="1">
        <v>410</v>
      </c>
      <c r="L10" s="1">
        <v>1.55</v>
      </c>
      <c r="M10" s="1">
        <f t="shared" si="3"/>
        <v>408.45</v>
      </c>
      <c r="N10" s="1">
        <f t="shared" si="4"/>
        <v>105.91549999999999</v>
      </c>
      <c r="O10" s="1">
        <f t="shared" si="5"/>
        <v>10591.55</v>
      </c>
      <c r="P10" s="3">
        <f t="shared" si="6"/>
        <v>5.9300584558726416E-2</v>
      </c>
      <c r="Q10" s="1">
        <f t="shared" si="7"/>
        <v>379.85849999999999</v>
      </c>
      <c r="R10" s="1">
        <f t="shared" si="8"/>
        <v>105.9</v>
      </c>
      <c r="S10" s="1">
        <f t="shared" ca="1" si="9"/>
        <v>408.45</v>
      </c>
      <c r="U10" s="4" t="s">
        <v>49</v>
      </c>
      <c r="V10" s="8">
        <v>0</v>
      </c>
      <c r="W10" s="8">
        <f t="shared" si="10"/>
        <v>0</v>
      </c>
      <c r="X10" s="14">
        <f t="shared" si="11"/>
        <v>379.85849999999999</v>
      </c>
      <c r="Y10" s="14">
        <f t="shared" si="12"/>
        <v>0</v>
      </c>
      <c r="AA10" t="s">
        <v>53</v>
      </c>
      <c r="AB10" s="1">
        <f>IF(AB5-AB8&gt;0,AB5-AB8,0)*AB9</f>
        <v>675.73500862068965</v>
      </c>
      <c r="AC10" s="1">
        <f>IF(AC5-AC8&gt;0,AC5-AC8,0)*AC9</f>
        <v>0</v>
      </c>
    </row>
    <row r="11" spans="1:29" x14ac:dyDescent="0.25">
      <c r="A11" t="s">
        <v>25</v>
      </c>
      <c r="B11" t="s">
        <v>26</v>
      </c>
      <c r="C11" s="4">
        <v>45412</v>
      </c>
      <c r="D11" s="4">
        <v>45583</v>
      </c>
      <c r="E11">
        <f t="shared" si="1"/>
        <v>171</v>
      </c>
      <c r="F11">
        <f t="shared" ca="1" si="2"/>
        <v>0</v>
      </c>
      <c r="G11" t="s">
        <v>17</v>
      </c>
      <c r="H11" t="s">
        <v>1</v>
      </c>
      <c r="I11" s="1">
        <v>32.5</v>
      </c>
      <c r="J11">
        <v>2</v>
      </c>
      <c r="K11" s="1">
        <v>42</v>
      </c>
      <c r="L11" s="1">
        <v>1.55</v>
      </c>
      <c r="M11" s="1">
        <f t="shared" si="3"/>
        <v>80.900000000000006</v>
      </c>
      <c r="N11" s="1">
        <f t="shared" si="4"/>
        <v>32.095500000000001</v>
      </c>
      <c r="O11" s="1">
        <f t="shared" si="5"/>
        <v>3169.1</v>
      </c>
      <c r="P11" s="3">
        <f t="shared" si="6"/>
        <v>2.7900997958909136E-2</v>
      </c>
      <c r="Q11" s="1">
        <f t="shared" si="7"/>
        <v>75.237000000000009</v>
      </c>
      <c r="R11" s="1">
        <f t="shared" si="8"/>
        <v>32.08</v>
      </c>
      <c r="S11" s="1">
        <f t="shared" ca="1" si="9"/>
        <v>80.900000000000006</v>
      </c>
      <c r="U11" s="4">
        <v>45449</v>
      </c>
      <c r="V11" s="8">
        <v>0.4</v>
      </c>
      <c r="W11" s="8">
        <f t="shared" si="10"/>
        <v>80</v>
      </c>
      <c r="X11" s="14">
        <f t="shared" si="11"/>
        <v>75.237000000000009</v>
      </c>
      <c r="Y11" s="14">
        <f t="shared" si="12"/>
        <v>0</v>
      </c>
      <c r="AA11" t="s">
        <v>76</v>
      </c>
      <c r="AB11" s="14">
        <f>AB5-AB10</f>
        <v>3027.2050258620689</v>
      </c>
      <c r="AC11" s="14">
        <f>AC5-AC10</f>
        <v>269.89655172413791</v>
      </c>
    </row>
    <row r="12" spans="1:29" x14ac:dyDescent="0.25">
      <c r="A12" t="s">
        <v>27</v>
      </c>
      <c r="B12" t="s">
        <v>28</v>
      </c>
      <c r="C12" s="4">
        <v>45432</v>
      </c>
      <c r="D12" s="4">
        <v>45674</v>
      </c>
      <c r="E12">
        <f t="shared" si="1"/>
        <v>242</v>
      </c>
      <c r="F12">
        <f t="shared" ca="1" si="2"/>
        <v>0</v>
      </c>
      <c r="G12" t="s">
        <v>17</v>
      </c>
      <c r="H12" t="s">
        <v>1</v>
      </c>
      <c r="I12" s="1">
        <v>120</v>
      </c>
      <c r="J12">
        <v>1</v>
      </c>
      <c r="K12" s="1">
        <v>480</v>
      </c>
      <c r="L12" s="1">
        <v>1.55</v>
      </c>
      <c r="M12" s="1">
        <f t="shared" si="3"/>
        <v>478.45</v>
      </c>
      <c r="N12" s="1">
        <f t="shared" si="4"/>
        <v>115.21550000000001</v>
      </c>
      <c r="O12" s="1">
        <f t="shared" si="5"/>
        <v>11521.55</v>
      </c>
      <c r="P12" s="3">
        <f t="shared" si="6"/>
        <v>6.1975132406391457E-2</v>
      </c>
      <c r="Q12" s="1">
        <f t="shared" si="7"/>
        <v>444.95850000000002</v>
      </c>
      <c r="R12" s="1">
        <f t="shared" si="8"/>
        <v>115.2</v>
      </c>
      <c r="S12" s="1">
        <f t="shared" ca="1" si="9"/>
        <v>478.45</v>
      </c>
      <c r="U12" s="4" t="s">
        <v>49</v>
      </c>
      <c r="V12" s="8">
        <v>0</v>
      </c>
      <c r="W12" s="8">
        <f t="shared" si="10"/>
        <v>0</v>
      </c>
      <c r="X12" s="14">
        <f t="shared" si="11"/>
        <v>444.95850000000002</v>
      </c>
      <c r="Y12" s="14">
        <f t="shared" si="12"/>
        <v>0</v>
      </c>
      <c r="AA12" t="s">
        <v>77</v>
      </c>
      <c r="AB12" s="1">
        <f>AB11/12</f>
        <v>252.26708548850573</v>
      </c>
      <c r="AC12" s="1">
        <f>AC11/12</f>
        <v>22.491379310344826</v>
      </c>
    </row>
    <row r="13" spans="1:29" x14ac:dyDescent="0.25">
      <c r="A13" t="s">
        <v>43</v>
      </c>
      <c r="B13" t="s">
        <v>44</v>
      </c>
      <c r="C13" s="4">
        <v>45488</v>
      </c>
      <c r="D13" s="4">
        <v>45611</v>
      </c>
      <c r="E13">
        <f t="shared" si="1"/>
        <v>123</v>
      </c>
      <c r="F13">
        <f t="shared" ca="1" si="2"/>
        <v>0</v>
      </c>
      <c r="G13" t="s">
        <v>17</v>
      </c>
      <c r="H13" t="s">
        <v>1</v>
      </c>
      <c r="I13" s="1">
        <v>60</v>
      </c>
      <c r="J13">
        <v>2</v>
      </c>
      <c r="K13" s="1">
        <v>78</v>
      </c>
      <c r="L13" s="1">
        <v>0.7</v>
      </c>
      <c r="M13" s="1">
        <f t="shared" si="3"/>
        <v>154.6</v>
      </c>
      <c r="N13" s="1">
        <f t="shared" si="4"/>
        <v>59.226999999999997</v>
      </c>
      <c r="O13" s="1">
        <f t="shared" si="5"/>
        <v>5845.4</v>
      </c>
      <c r="P13" s="3">
        <f t="shared" si="6"/>
        <v>3.9055100237251388E-2</v>
      </c>
      <c r="Q13" s="1">
        <f t="shared" si="7"/>
        <v>143.77799999999999</v>
      </c>
      <c r="R13" s="1">
        <f t="shared" si="8"/>
        <v>59.22</v>
      </c>
      <c r="S13" s="1">
        <f t="shared" ca="1" si="9"/>
        <v>154.6</v>
      </c>
      <c r="U13" s="4">
        <v>45446</v>
      </c>
      <c r="V13" s="8">
        <v>0.37</v>
      </c>
      <c r="W13" s="8">
        <f t="shared" si="10"/>
        <v>74</v>
      </c>
      <c r="X13" s="14">
        <f t="shared" si="11"/>
        <v>143.77799999999999</v>
      </c>
      <c r="Y13" s="14">
        <f t="shared" si="12"/>
        <v>0</v>
      </c>
    </row>
    <row r="14" spans="1:29" x14ac:dyDescent="0.25">
      <c r="A14" t="s">
        <v>39</v>
      </c>
      <c r="B14" t="s">
        <v>40</v>
      </c>
      <c r="C14" s="4">
        <v>45488</v>
      </c>
      <c r="D14" s="4">
        <v>45737</v>
      </c>
      <c r="E14">
        <f t="shared" si="1"/>
        <v>249</v>
      </c>
      <c r="F14">
        <f t="shared" ca="1" si="2"/>
        <v>0</v>
      </c>
      <c r="G14" t="s">
        <v>17</v>
      </c>
      <c r="H14" t="s">
        <v>1</v>
      </c>
      <c r="I14" s="1">
        <v>140</v>
      </c>
      <c r="J14">
        <v>1</v>
      </c>
      <c r="K14" s="1">
        <v>221</v>
      </c>
      <c r="L14" s="1">
        <v>0.81</v>
      </c>
      <c r="M14" s="1">
        <f t="shared" si="3"/>
        <v>220.19</v>
      </c>
      <c r="N14" s="1">
        <f t="shared" si="4"/>
        <v>137.79810000000001</v>
      </c>
      <c r="O14" s="1">
        <f t="shared" si="5"/>
        <v>13779.81</v>
      </c>
      <c r="P14" s="3">
        <f t="shared" si="6"/>
        <v>2.3187407684805279E-2</v>
      </c>
      <c r="Q14" s="1">
        <f t="shared" si="7"/>
        <v>204.77670000000001</v>
      </c>
      <c r="R14" s="1">
        <f t="shared" si="8"/>
        <v>137.79</v>
      </c>
      <c r="S14" s="1">
        <f t="shared" ca="1" si="9"/>
        <v>220.19</v>
      </c>
      <c r="U14" s="4">
        <v>45453</v>
      </c>
      <c r="V14" s="8">
        <v>0.2</v>
      </c>
      <c r="W14" s="8">
        <f t="shared" si="10"/>
        <v>20</v>
      </c>
      <c r="X14" s="14">
        <f t="shared" si="11"/>
        <v>204.77670000000001</v>
      </c>
      <c r="Y14" s="14">
        <f t="shared" si="12"/>
        <v>0</v>
      </c>
    </row>
    <row r="15" spans="1:29" x14ac:dyDescent="0.25">
      <c r="A15" t="s">
        <v>45</v>
      </c>
      <c r="B15" t="s">
        <v>46</v>
      </c>
      <c r="C15" s="4">
        <v>45490</v>
      </c>
      <c r="D15" s="4">
        <v>45828</v>
      </c>
      <c r="E15">
        <f t="shared" si="1"/>
        <v>338</v>
      </c>
      <c r="F15">
        <f t="shared" ca="1" si="2"/>
        <v>0</v>
      </c>
      <c r="G15" t="s">
        <v>47</v>
      </c>
      <c r="H15" t="s">
        <v>0</v>
      </c>
      <c r="I15" s="14">
        <v>70</v>
      </c>
      <c r="J15">
        <v>1</v>
      </c>
      <c r="K15" s="14">
        <v>280</v>
      </c>
      <c r="L15" s="14">
        <v>1.1000000000000001</v>
      </c>
      <c r="M15" s="14">
        <f t="shared" si="3"/>
        <v>278.89999999999998</v>
      </c>
      <c r="N15" s="14">
        <f t="shared" si="4"/>
        <v>67.210999999999999</v>
      </c>
      <c r="O15" s="14">
        <f t="shared" si="5"/>
        <v>6721.1</v>
      </c>
      <c r="P15" s="30">
        <f t="shared" si="6"/>
        <v>4.4371435043520542E-2</v>
      </c>
      <c r="Q15" s="14">
        <f t="shared" si="7"/>
        <v>278.89999999999998</v>
      </c>
      <c r="R15" s="14">
        <f t="shared" si="8"/>
        <v>0</v>
      </c>
      <c r="S15" s="14">
        <f t="shared" ca="1" si="9"/>
        <v>278.89999999999998</v>
      </c>
      <c r="T15" s="14"/>
      <c r="U15" s="4">
        <v>45421</v>
      </c>
      <c r="V15" s="8">
        <v>5.26</v>
      </c>
      <c r="W15" s="8">
        <f t="shared" si="10"/>
        <v>0</v>
      </c>
      <c r="X15" s="14">
        <f t="shared" si="11"/>
        <v>278.89999999999998</v>
      </c>
      <c r="Y15" s="14">
        <f t="shared" si="12"/>
        <v>0</v>
      </c>
      <c r="Z15" s="2"/>
    </row>
    <row r="16" spans="1:29" x14ac:dyDescent="0.25">
      <c r="A16" t="s">
        <v>57</v>
      </c>
      <c r="B16" t="s">
        <v>58</v>
      </c>
      <c r="C16" s="4">
        <v>45547</v>
      </c>
      <c r="D16" s="4">
        <v>45737</v>
      </c>
      <c r="E16">
        <f t="shared" si="1"/>
        <v>190</v>
      </c>
      <c r="F16">
        <f t="shared" ca="1" si="2"/>
        <v>0</v>
      </c>
      <c r="G16" t="s">
        <v>17</v>
      </c>
      <c r="H16" t="s">
        <v>0</v>
      </c>
      <c r="I16" s="1">
        <v>46</v>
      </c>
      <c r="J16">
        <v>2</v>
      </c>
      <c r="K16" s="1">
        <v>210</v>
      </c>
      <c r="L16" s="1">
        <v>1.1000000000000001</v>
      </c>
      <c r="M16" s="1">
        <f t="shared" si="3"/>
        <v>417.8</v>
      </c>
      <c r="N16" s="1">
        <f t="shared" si="4"/>
        <v>43.911000000000001</v>
      </c>
      <c r="O16" s="1">
        <f t="shared" si="5"/>
        <v>4182.2</v>
      </c>
      <c r="P16" s="3">
        <f t="shared" si="6"/>
        <v>9.5140054718116124E-2</v>
      </c>
      <c r="Q16" s="1">
        <f t="shared" si="7"/>
        <v>417.8</v>
      </c>
      <c r="R16" s="1">
        <f t="shared" si="8"/>
        <v>43.9</v>
      </c>
      <c r="S16" s="1">
        <f t="shared" ca="1" si="9"/>
        <v>417.8</v>
      </c>
      <c r="U16" s="4">
        <v>45411</v>
      </c>
      <c r="V16" s="8">
        <v>2.2000000000000002</v>
      </c>
      <c r="W16" s="8">
        <f t="shared" si="10"/>
        <v>440.00000000000006</v>
      </c>
      <c r="X16" s="14">
        <f t="shared" si="11"/>
        <v>417.8</v>
      </c>
      <c r="Y16" s="14">
        <f t="shared" si="12"/>
        <v>0</v>
      </c>
      <c r="AB16" s="8"/>
    </row>
    <row r="17" spans="1:28" x14ac:dyDescent="0.25">
      <c r="A17" t="s">
        <v>45</v>
      </c>
      <c r="B17" t="s">
        <v>46</v>
      </c>
      <c r="C17" s="4">
        <v>45553</v>
      </c>
      <c r="D17" s="4">
        <v>45611</v>
      </c>
      <c r="E17">
        <f t="shared" si="1"/>
        <v>58</v>
      </c>
      <c r="F17">
        <f t="shared" ca="1" si="2"/>
        <v>0</v>
      </c>
      <c r="G17" t="s">
        <v>17</v>
      </c>
      <c r="H17" t="s">
        <v>0</v>
      </c>
      <c r="I17" s="1">
        <v>54</v>
      </c>
      <c r="J17">
        <v>1</v>
      </c>
      <c r="K17" s="1">
        <v>108</v>
      </c>
      <c r="L17" s="1">
        <v>1.1000000000000001</v>
      </c>
      <c r="M17" s="1">
        <f t="shared" si="3"/>
        <v>106.9</v>
      </c>
      <c r="N17" s="1">
        <f t="shared" si="4"/>
        <v>52.930999999999997</v>
      </c>
      <c r="O17" s="1">
        <f t="shared" si="5"/>
        <v>5293.1</v>
      </c>
      <c r="P17" s="3">
        <f t="shared" si="6"/>
        <v>0.12664503364497304</v>
      </c>
      <c r="Q17" s="1">
        <f t="shared" si="7"/>
        <v>106.9</v>
      </c>
      <c r="R17" s="1">
        <f t="shared" si="8"/>
        <v>52.92</v>
      </c>
      <c r="S17" s="1">
        <f t="shared" ca="1" si="9"/>
        <v>106.9</v>
      </c>
      <c r="U17" s="4">
        <v>45421</v>
      </c>
      <c r="V17" s="8">
        <v>5.26</v>
      </c>
      <c r="W17" s="8">
        <f t="shared" si="10"/>
        <v>526</v>
      </c>
      <c r="X17" s="14">
        <f t="shared" si="11"/>
        <v>106.9</v>
      </c>
      <c r="Y17" s="14">
        <f t="shared" si="12"/>
        <v>0</v>
      </c>
    </row>
    <row r="18" spans="1:28" x14ac:dyDescent="0.25">
      <c r="A18" t="s">
        <v>20</v>
      </c>
      <c r="B18" t="s">
        <v>21</v>
      </c>
      <c r="C18" s="4">
        <v>45553</v>
      </c>
      <c r="D18" s="4">
        <v>45737</v>
      </c>
      <c r="E18">
        <f t="shared" si="1"/>
        <v>184</v>
      </c>
      <c r="F18">
        <f t="shared" ca="1" si="2"/>
        <v>0</v>
      </c>
      <c r="G18" t="s">
        <v>17</v>
      </c>
      <c r="H18" t="s">
        <v>0</v>
      </c>
      <c r="I18" s="1">
        <v>6.1</v>
      </c>
      <c r="J18">
        <v>4</v>
      </c>
      <c r="K18" s="1">
        <v>44</v>
      </c>
      <c r="L18" s="1">
        <v>1.1000000000000001</v>
      </c>
      <c r="M18" s="1">
        <f t="shared" si="3"/>
        <v>171.6</v>
      </c>
      <c r="N18" s="1">
        <f t="shared" si="4"/>
        <v>5.6709999999999994</v>
      </c>
      <c r="O18" s="1">
        <f t="shared" si="5"/>
        <v>438.4</v>
      </c>
      <c r="P18" s="3">
        <f t="shared" si="6"/>
        <v>0.19636623294192321</v>
      </c>
      <c r="Q18" s="1">
        <f t="shared" si="7"/>
        <v>171.6</v>
      </c>
      <c r="R18" s="1">
        <f t="shared" si="8"/>
        <v>5.66</v>
      </c>
      <c r="S18" s="1">
        <f t="shared" ca="1" si="9"/>
        <v>171.6</v>
      </c>
      <c r="U18" s="4">
        <v>45420</v>
      </c>
      <c r="V18" s="8">
        <v>0.3</v>
      </c>
      <c r="W18" s="8">
        <f t="shared" si="10"/>
        <v>120</v>
      </c>
      <c r="X18" s="14">
        <f t="shared" si="11"/>
        <v>171.6</v>
      </c>
      <c r="Y18" s="14">
        <f t="shared" si="12"/>
        <v>0</v>
      </c>
    </row>
    <row r="19" spans="1:28" x14ac:dyDescent="0.25">
      <c r="A19" t="s">
        <v>55</v>
      </c>
      <c r="B19" t="s">
        <v>56</v>
      </c>
      <c r="C19" s="4">
        <v>45554</v>
      </c>
      <c r="D19" s="4">
        <v>45646</v>
      </c>
      <c r="E19">
        <f t="shared" si="1"/>
        <v>92</v>
      </c>
      <c r="F19">
        <f t="shared" ca="1" si="2"/>
        <v>0</v>
      </c>
      <c r="G19" t="s">
        <v>17</v>
      </c>
      <c r="H19" t="s">
        <v>0</v>
      </c>
      <c r="I19" s="1">
        <v>14</v>
      </c>
      <c r="J19">
        <v>3</v>
      </c>
      <c r="K19" s="1">
        <v>49</v>
      </c>
      <c r="L19" s="1">
        <v>1.1000000000000001</v>
      </c>
      <c r="M19" s="1">
        <f t="shared" si="3"/>
        <v>143.69999999999999</v>
      </c>
      <c r="N19" s="1">
        <f t="shared" si="4"/>
        <v>13.521000000000001</v>
      </c>
      <c r="O19" s="1">
        <f t="shared" si="5"/>
        <v>1256.3</v>
      </c>
      <c r="P19" s="3">
        <f t="shared" si="6"/>
        <v>0.15262208901916949</v>
      </c>
      <c r="Q19" s="1">
        <f t="shared" si="7"/>
        <v>143.69999999999999</v>
      </c>
      <c r="R19" s="1">
        <f t="shared" si="8"/>
        <v>13.51</v>
      </c>
      <c r="S19" s="1">
        <f t="shared" ca="1" si="9"/>
        <v>143.69999999999999</v>
      </c>
      <c r="U19" s="4">
        <v>45429</v>
      </c>
      <c r="V19" s="8">
        <v>0.45</v>
      </c>
      <c r="W19" s="8">
        <f t="shared" si="10"/>
        <v>135</v>
      </c>
      <c r="X19" s="14">
        <f t="shared" si="11"/>
        <v>143.69999999999999</v>
      </c>
      <c r="Y19" s="14">
        <f t="shared" si="12"/>
        <v>0</v>
      </c>
      <c r="AB19" s="14"/>
    </row>
    <row r="20" spans="1:28" x14ac:dyDescent="0.25">
      <c r="A20" t="s">
        <v>68</v>
      </c>
      <c r="B20" t="s">
        <v>69</v>
      </c>
      <c r="C20" s="4">
        <v>45574</v>
      </c>
      <c r="D20" s="4">
        <v>45646</v>
      </c>
      <c r="E20">
        <f t="shared" si="1"/>
        <v>72</v>
      </c>
      <c r="F20">
        <f t="shared" ca="1" si="2"/>
        <v>0</v>
      </c>
      <c r="G20" t="s">
        <v>17</v>
      </c>
      <c r="H20" t="s">
        <v>0</v>
      </c>
      <c r="I20" s="1">
        <v>3.05</v>
      </c>
      <c r="J20">
        <v>5</v>
      </c>
      <c r="K20" s="1">
        <v>17</v>
      </c>
      <c r="L20" s="1">
        <v>1.1000000000000001</v>
      </c>
      <c r="M20" s="1">
        <f t="shared" si="3"/>
        <v>79.5</v>
      </c>
      <c r="N20" s="1">
        <f t="shared" si="4"/>
        <v>2.891</v>
      </c>
      <c r="O20" s="1">
        <f t="shared" si="5"/>
        <v>225.5</v>
      </c>
      <c r="P20" s="3">
        <f t="shared" si="6"/>
        <v>0.37694013303769403</v>
      </c>
      <c r="Q20" s="1">
        <f t="shared" si="7"/>
        <v>79.5</v>
      </c>
      <c r="R20" s="1">
        <f t="shared" si="8"/>
        <v>2.88</v>
      </c>
      <c r="S20" s="1">
        <f t="shared" ca="1" si="9"/>
        <v>79.5</v>
      </c>
      <c r="U20" s="4">
        <v>45327</v>
      </c>
      <c r="V20" s="8">
        <v>0.15</v>
      </c>
      <c r="W20" s="8">
        <f t="shared" si="10"/>
        <v>75</v>
      </c>
      <c r="X20" s="14">
        <f t="shared" si="11"/>
        <v>79.5</v>
      </c>
      <c r="Y20" s="14">
        <f t="shared" si="12"/>
        <v>0</v>
      </c>
    </row>
    <row r="21" spans="1:28" x14ac:dyDescent="0.25">
      <c r="A21" t="s">
        <v>68</v>
      </c>
      <c r="B21" t="s">
        <v>69</v>
      </c>
      <c r="C21" s="4">
        <v>45574</v>
      </c>
      <c r="D21" s="4">
        <v>45737</v>
      </c>
      <c r="E21">
        <f t="shared" si="1"/>
        <v>163</v>
      </c>
      <c r="F21">
        <f t="shared" ca="1" si="2"/>
        <v>0</v>
      </c>
      <c r="G21" t="s">
        <v>47</v>
      </c>
      <c r="H21" t="s">
        <v>0</v>
      </c>
      <c r="I21" s="1">
        <v>3.8</v>
      </c>
      <c r="J21">
        <v>5</v>
      </c>
      <c r="K21" s="1">
        <v>23</v>
      </c>
      <c r="L21" s="1">
        <v>1.1000000000000001</v>
      </c>
      <c r="M21" s="1">
        <f t="shared" si="3"/>
        <v>109.5</v>
      </c>
      <c r="N21" s="1">
        <f t="shared" si="4"/>
        <v>3.581</v>
      </c>
      <c r="O21" s="1">
        <f t="shared" si="5"/>
        <v>270.5</v>
      </c>
      <c r="P21" s="3">
        <f t="shared" si="6"/>
        <v>0.18779129764240274</v>
      </c>
      <c r="Q21" s="1">
        <f t="shared" si="7"/>
        <v>109.5</v>
      </c>
      <c r="R21" s="1">
        <f t="shared" si="8"/>
        <v>0</v>
      </c>
      <c r="S21" s="1">
        <f t="shared" ca="1" si="9"/>
        <v>109.5</v>
      </c>
      <c r="U21" s="4">
        <v>45327</v>
      </c>
      <c r="V21" s="8">
        <v>0.15</v>
      </c>
      <c r="W21" s="8">
        <f t="shared" si="10"/>
        <v>0</v>
      </c>
      <c r="X21" s="14">
        <f t="shared" si="11"/>
        <v>109.5</v>
      </c>
      <c r="Y21" s="14">
        <f t="shared" si="12"/>
        <v>0</v>
      </c>
    </row>
    <row r="22" spans="1:28" x14ac:dyDescent="0.25">
      <c r="A22" t="s">
        <v>71</v>
      </c>
      <c r="B22" t="s">
        <v>72</v>
      </c>
      <c r="C22" s="4">
        <v>45616</v>
      </c>
      <c r="D22" s="4">
        <v>45709</v>
      </c>
      <c r="E22">
        <f t="shared" si="1"/>
        <v>93</v>
      </c>
      <c r="F22">
        <f t="shared" ca="1" si="2"/>
        <v>0</v>
      </c>
      <c r="G22" t="s">
        <v>17</v>
      </c>
      <c r="H22" t="s">
        <v>0</v>
      </c>
      <c r="I22" s="1">
        <v>25</v>
      </c>
      <c r="J22">
        <v>3</v>
      </c>
      <c r="K22" s="1">
        <v>33</v>
      </c>
      <c r="L22" s="1">
        <v>1.1000000000000001</v>
      </c>
      <c r="M22" s="1">
        <f t="shared" si="3"/>
        <v>95.699999999999989</v>
      </c>
      <c r="N22" s="1">
        <f t="shared" si="4"/>
        <v>24.681000000000001</v>
      </c>
      <c r="O22" s="1">
        <f t="shared" si="5"/>
        <v>2404.3000000000002</v>
      </c>
      <c r="P22" s="3">
        <f t="shared" si="6"/>
        <v>5.3130614101347985E-2</v>
      </c>
      <c r="Q22" s="1">
        <f t="shared" si="7"/>
        <v>95.699999999999989</v>
      </c>
      <c r="R22" s="1">
        <f t="shared" si="8"/>
        <v>24.67</v>
      </c>
      <c r="S22" s="1">
        <f t="shared" ca="1" si="9"/>
        <v>95.699999999999989</v>
      </c>
      <c r="U22" s="4">
        <v>45421</v>
      </c>
      <c r="V22" s="8">
        <v>0.09</v>
      </c>
      <c r="W22" s="8">
        <f t="shared" si="10"/>
        <v>27</v>
      </c>
      <c r="X22" s="14">
        <f t="shared" si="11"/>
        <v>95.699999999999989</v>
      </c>
      <c r="Y22" s="14">
        <f t="shared" si="12"/>
        <v>0</v>
      </c>
    </row>
    <row r="23" spans="1:28" x14ac:dyDescent="0.25">
      <c r="A23" t="s">
        <v>68</v>
      </c>
      <c r="B23" t="s">
        <v>69</v>
      </c>
      <c r="C23" s="4">
        <v>45631</v>
      </c>
      <c r="D23" s="4">
        <v>45674</v>
      </c>
      <c r="E23">
        <f t="shared" si="1"/>
        <v>43</v>
      </c>
      <c r="F23">
        <f t="shared" ca="1" si="2"/>
        <v>0</v>
      </c>
      <c r="G23" t="s">
        <v>17</v>
      </c>
      <c r="H23" t="s">
        <v>0</v>
      </c>
      <c r="I23" s="1">
        <v>3.9</v>
      </c>
      <c r="J23">
        <v>5</v>
      </c>
      <c r="K23" s="1">
        <v>13</v>
      </c>
      <c r="L23" s="1">
        <v>1.1000000000000001</v>
      </c>
      <c r="M23" s="1">
        <f t="shared" si="3"/>
        <v>59.5</v>
      </c>
      <c r="N23" s="1">
        <f t="shared" si="4"/>
        <v>3.7809999999999997</v>
      </c>
      <c r="O23" s="1">
        <f t="shared" si="5"/>
        <v>330.5</v>
      </c>
      <c r="P23" s="3">
        <f t="shared" si="6"/>
        <v>0.32931076944727866</v>
      </c>
      <c r="Q23" s="1">
        <f t="shared" si="7"/>
        <v>59.5</v>
      </c>
      <c r="R23" s="1">
        <f t="shared" si="8"/>
        <v>3.77</v>
      </c>
      <c r="S23" s="1">
        <f t="shared" ca="1" si="9"/>
        <v>59.5</v>
      </c>
      <c r="U23" s="4">
        <v>45327</v>
      </c>
      <c r="V23" s="8">
        <v>0.15</v>
      </c>
      <c r="W23" s="8">
        <f t="shared" si="10"/>
        <v>75</v>
      </c>
      <c r="X23" s="14">
        <f t="shared" si="11"/>
        <v>59.5</v>
      </c>
      <c r="Y23" s="14">
        <f t="shared" si="12"/>
        <v>0</v>
      </c>
    </row>
    <row r="24" spans="1:28" x14ac:dyDescent="0.25">
      <c r="A24" t="s">
        <v>45</v>
      </c>
      <c r="B24" t="s">
        <v>46</v>
      </c>
      <c r="C24" s="4">
        <v>45631</v>
      </c>
      <c r="D24" s="4">
        <v>45709</v>
      </c>
      <c r="E24">
        <f t="shared" si="1"/>
        <v>78</v>
      </c>
      <c r="F24">
        <f t="shared" ca="1" si="2"/>
        <v>0</v>
      </c>
      <c r="G24" t="s">
        <v>47</v>
      </c>
      <c r="H24" t="s">
        <v>0</v>
      </c>
      <c r="I24" s="1">
        <v>58</v>
      </c>
      <c r="J24">
        <v>1</v>
      </c>
      <c r="K24" s="1">
        <v>82</v>
      </c>
      <c r="L24" s="1">
        <v>1.1000000000000001</v>
      </c>
      <c r="M24" s="1">
        <f t="shared" si="3"/>
        <v>80.900000000000006</v>
      </c>
      <c r="N24" s="1">
        <f t="shared" si="4"/>
        <v>57.191000000000003</v>
      </c>
      <c r="O24" s="1">
        <f t="shared" si="5"/>
        <v>5719.1</v>
      </c>
      <c r="P24" s="3">
        <f t="shared" si="6"/>
        <v>6.6175016779132803E-2</v>
      </c>
      <c r="Q24" s="1">
        <f t="shared" si="7"/>
        <v>80.900000000000006</v>
      </c>
      <c r="R24" s="1">
        <f t="shared" si="8"/>
        <v>0</v>
      </c>
      <c r="S24" s="1">
        <f t="shared" ca="1" si="9"/>
        <v>80.900000000000006</v>
      </c>
      <c r="U24" s="4">
        <v>45421</v>
      </c>
      <c r="V24" s="8">
        <v>5.26</v>
      </c>
      <c r="W24" s="8">
        <f t="shared" si="10"/>
        <v>0</v>
      </c>
      <c r="X24" s="14">
        <f t="shared" si="11"/>
        <v>80.900000000000006</v>
      </c>
      <c r="Y24" s="14">
        <f t="shared" si="12"/>
        <v>0</v>
      </c>
    </row>
    <row r="25" spans="1:28" x14ac:dyDescent="0.25">
      <c r="A25" t="s">
        <v>68</v>
      </c>
      <c r="B25" t="s">
        <v>69</v>
      </c>
      <c r="C25" s="4">
        <v>45631</v>
      </c>
      <c r="D25" s="4">
        <v>45709</v>
      </c>
      <c r="E25">
        <f t="shared" si="1"/>
        <v>78</v>
      </c>
      <c r="F25">
        <f t="shared" ca="1" si="2"/>
        <v>0</v>
      </c>
      <c r="G25" t="s">
        <v>17</v>
      </c>
      <c r="H25" t="s">
        <v>0</v>
      </c>
      <c r="I25" s="1">
        <v>4</v>
      </c>
      <c r="J25">
        <v>5</v>
      </c>
      <c r="K25" s="1">
        <v>33</v>
      </c>
      <c r="L25" s="1">
        <v>1.1000000000000001</v>
      </c>
      <c r="M25" s="1">
        <f t="shared" si="3"/>
        <v>159.5</v>
      </c>
      <c r="N25" s="1">
        <f t="shared" si="4"/>
        <v>3.681</v>
      </c>
      <c r="O25" s="1">
        <f t="shared" si="5"/>
        <v>240.5</v>
      </c>
      <c r="P25" s="3">
        <f t="shared" si="6"/>
        <v>0.63329601791140255</v>
      </c>
      <c r="Q25" s="1">
        <f t="shared" si="7"/>
        <v>159.5</v>
      </c>
      <c r="R25" s="1">
        <f t="shared" si="8"/>
        <v>3.67</v>
      </c>
      <c r="S25" s="1">
        <f t="shared" ca="1" si="9"/>
        <v>159.5</v>
      </c>
      <c r="U25" s="4">
        <v>45327</v>
      </c>
      <c r="V25" s="8">
        <v>0.15</v>
      </c>
      <c r="W25" s="8">
        <f t="shared" si="10"/>
        <v>75</v>
      </c>
      <c r="X25" s="14">
        <f t="shared" si="11"/>
        <v>159.5</v>
      </c>
      <c r="Y25" s="14">
        <f t="shared" si="12"/>
        <v>0</v>
      </c>
    </row>
    <row r="26" spans="1:28" x14ac:dyDescent="0.25">
      <c r="A26" t="s">
        <v>73</v>
      </c>
      <c r="B26" t="s">
        <v>74</v>
      </c>
      <c r="C26" s="4">
        <v>45653</v>
      </c>
      <c r="D26" s="4">
        <v>45709</v>
      </c>
      <c r="E26">
        <f t="shared" si="1"/>
        <v>56</v>
      </c>
      <c r="F26">
        <f t="shared" ca="1" si="2"/>
        <v>0</v>
      </c>
      <c r="G26" t="s">
        <v>17</v>
      </c>
      <c r="H26" t="s">
        <v>0</v>
      </c>
      <c r="I26" s="1">
        <v>37</v>
      </c>
      <c r="J26">
        <v>2</v>
      </c>
      <c r="K26" s="1">
        <v>60</v>
      </c>
      <c r="L26" s="1">
        <v>1.1000000000000001</v>
      </c>
      <c r="M26" s="1">
        <f t="shared" si="3"/>
        <v>117.8</v>
      </c>
      <c r="N26" s="1">
        <f t="shared" si="4"/>
        <v>36.411000000000001</v>
      </c>
      <c r="O26" s="1">
        <f t="shared" si="5"/>
        <v>3582.2</v>
      </c>
      <c r="P26" s="3">
        <f t="shared" si="6"/>
        <v>0.10767525144165199</v>
      </c>
      <c r="Q26" s="1">
        <f t="shared" si="7"/>
        <v>117.8</v>
      </c>
      <c r="R26" s="1">
        <f t="shared" si="8"/>
        <v>36.4</v>
      </c>
      <c r="S26" s="1">
        <f t="shared" ca="1" si="9"/>
        <v>117.8</v>
      </c>
      <c r="U26" s="4">
        <v>45427</v>
      </c>
      <c r="V26" s="8">
        <v>1.35</v>
      </c>
      <c r="W26" s="8">
        <f t="shared" si="10"/>
        <v>270</v>
      </c>
      <c r="X26" s="14">
        <f t="shared" si="11"/>
        <v>117.8</v>
      </c>
      <c r="Y26" s="14">
        <f t="shared" si="12"/>
        <v>0</v>
      </c>
    </row>
    <row r="27" spans="1:28" x14ac:dyDescent="0.25">
      <c r="A27" t="s">
        <v>20</v>
      </c>
      <c r="B27" t="s">
        <v>21</v>
      </c>
      <c r="C27" s="4">
        <v>45656</v>
      </c>
      <c r="D27" s="4">
        <v>45709</v>
      </c>
      <c r="E27">
        <f t="shared" si="1"/>
        <v>53</v>
      </c>
      <c r="F27">
        <f t="shared" ca="1" si="2"/>
        <v>0</v>
      </c>
      <c r="G27" t="s">
        <v>17</v>
      </c>
      <c r="H27" t="s">
        <v>0</v>
      </c>
      <c r="I27" s="1">
        <v>5.8</v>
      </c>
      <c r="J27">
        <v>3</v>
      </c>
      <c r="K27" s="1">
        <v>10</v>
      </c>
      <c r="L27" s="1">
        <v>1.1000000000000001</v>
      </c>
      <c r="M27" s="1">
        <f t="shared" si="3"/>
        <v>26.700000000000003</v>
      </c>
      <c r="N27" s="1">
        <f t="shared" si="4"/>
        <v>5.7109999999999994</v>
      </c>
      <c r="O27" s="1">
        <f t="shared" si="5"/>
        <v>553.29999999999995</v>
      </c>
      <c r="P27" s="3">
        <f t="shared" si="6"/>
        <v>0.12276256696527527</v>
      </c>
      <c r="Q27" s="1">
        <f t="shared" si="7"/>
        <v>26.700000000000003</v>
      </c>
      <c r="R27" s="1">
        <f t="shared" si="8"/>
        <v>5.7</v>
      </c>
      <c r="S27" s="1">
        <f t="shared" ca="1" si="9"/>
        <v>26.700000000000003</v>
      </c>
      <c r="X27" s="14">
        <f t="shared" si="11"/>
        <v>26.700000000000003</v>
      </c>
      <c r="Y27" s="14">
        <f t="shared" si="12"/>
        <v>0</v>
      </c>
    </row>
    <row r="28" spans="1:28" x14ac:dyDescent="0.25">
      <c r="A28" t="s">
        <v>20</v>
      </c>
      <c r="B28" t="s">
        <v>21</v>
      </c>
      <c r="C28" s="32">
        <v>45659</v>
      </c>
      <c r="D28" s="4">
        <v>45737</v>
      </c>
      <c r="E28">
        <f t="shared" si="1"/>
        <v>78</v>
      </c>
      <c r="F28">
        <f t="shared" ca="1" si="2"/>
        <v>0</v>
      </c>
      <c r="G28" t="s">
        <v>47</v>
      </c>
      <c r="H28" t="s">
        <v>0</v>
      </c>
      <c r="I28" s="1">
        <v>6.5</v>
      </c>
      <c r="J28">
        <v>1</v>
      </c>
      <c r="K28" s="1">
        <v>24</v>
      </c>
      <c r="L28" s="1">
        <v>1.1000000000000001</v>
      </c>
      <c r="M28" s="1">
        <f t="shared" si="3"/>
        <v>22.9</v>
      </c>
      <c r="N28" s="1">
        <f t="shared" si="4"/>
        <v>6.2709999999999999</v>
      </c>
      <c r="O28" s="1">
        <f t="shared" si="5"/>
        <v>627.1</v>
      </c>
      <c r="P28" s="3">
        <f t="shared" si="6"/>
        <v>0.17663726801025476</v>
      </c>
      <c r="Q28" s="1">
        <f t="shared" si="7"/>
        <v>22.9</v>
      </c>
      <c r="R28" s="1">
        <f t="shared" si="8"/>
        <v>0</v>
      </c>
      <c r="S28" s="1">
        <f t="shared" ca="1" si="9"/>
        <v>22.9</v>
      </c>
      <c r="X28" s="14">
        <f t="shared" si="11"/>
        <v>0</v>
      </c>
      <c r="Y28" s="14">
        <f t="shared" si="12"/>
        <v>22.9</v>
      </c>
    </row>
    <row r="29" spans="1:28" x14ac:dyDescent="0.25">
      <c r="A29" t="s">
        <v>68</v>
      </c>
      <c r="B29" t="s">
        <v>69</v>
      </c>
      <c r="C29" s="4">
        <v>45677</v>
      </c>
      <c r="D29" s="4">
        <v>45716</v>
      </c>
      <c r="E29">
        <f t="shared" si="1"/>
        <v>39</v>
      </c>
      <c r="F29">
        <f t="shared" ca="1" si="2"/>
        <v>0</v>
      </c>
      <c r="G29" t="s">
        <v>17</v>
      </c>
      <c r="H29" t="s">
        <v>0</v>
      </c>
      <c r="I29" s="1">
        <v>3.8</v>
      </c>
      <c r="J29">
        <v>5</v>
      </c>
      <c r="K29" s="1">
        <v>12</v>
      </c>
      <c r="L29" s="1">
        <v>1.1000000000000001</v>
      </c>
      <c r="M29" s="1">
        <f t="shared" si="3"/>
        <v>54.5</v>
      </c>
      <c r="N29" s="1">
        <f t="shared" si="4"/>
        <v>3.6909999999999998</v>
      </c>
      <c r="O29" s="1">
        <f t="shared" si="5"/>
        <v>325.5</v>
      </c>
      <c r="P29" s="3">
        <f t="shared" si="6"/>
        <v>0.34030485643388864</v>
      </c>
      <c r="Q29" s="1">
        <f t="shared" si="7"/>
        <v>54.5</v>
      </c>
      <c r="R29" s="1">
        <f t="shared" si="8"/>
        <v>3.68</v>
      </c>
      <c r="S29" s="1">
        <f t="shared" ca="1" si="9"/>
        <v>54.5</v>
      </c>
      <c r="X29" s="34">
        <f t="shared" si="11"/>
        <v>0</v>
      </c>
      <c r="Y29" s="34">
        <f t="shared" si="12"/>
        <v>54.5</v>
      </c>
    </row>
    <row r="30" spans="1:28" x14ac:dyDescent="0.25">
      <c r="A30" t="s">
        <v>68</v>
      </c>
      <c r="B30" t="s">
        <v>69</v>
      </c>
      <c r="C30" s="4">
        <v>45677</v>
      </c>
      <c r="D30" s="4">
        <v>45716</v>
      </c>
      <c r="E30">
        <f t="shared" si="1"/>
        <v>39</v>
      </c>
      <c r="F30">
        <f t="shared" ca="1" si="2"/>
        <v>0</v>
      </c>
      <c r="G30" t="s">
        <v>17</v>
      </c>
      <c r="H30" t="s">
        <v>0</v>
      </c>
      <c r="I30" s="1">
        <v>3.85</v>
      </c>
      <c r="J30">
        <v>5</v>
      </c>
      <c r="K30" s="1">
        <v>13</v>
      </c>
      <c r="L30" s="1">
        <v>1.1000000000000001</v>
      </c>
      <c r="M30" s="1">
        <f t="shared" si="3"/>
        <v>59.5</v>
      </c>
      <c r="N30" s="1">
        <f t="shared" si="4"/>
        <v>3.7309999999999999</v>
      </c>
      <c r="O30" s="1">
        <f t="shared" si="5"/>
        <v>325.5</v>
      </c>
      <c r="P30" s="3">
        <f t="shared" si="6"/>
        <v>0.36866359447004604</v>
      </c>
      <c r="Q30" s="1">
        <f t="shared" si="7"/>
        <v>59.5</v>
      </c>
      <c r="R30" s="1">
        <f t="shared" si="8"/>
        <v>3.72</v>
      </c>
      <c r="S30" s="1">
        <f t="shared" ca="1" si="9"/>
        <v>59.5</v>
      </c>
      <c r="X30" s="34">
        <f t="shared" si="11"/>
        <v>0</v>
      </c>
      <c r="Y30" s="34">
        <f t="shared" si="12"/>
        <v>59.5</v>
      </c>
    </row>
    <row r="31" spans="1:28" x14ac:dyDescent="0.25">
      <c r="A31" t="s">
        <v>68</v>
      </c>
      <c r="B31" t="s">
        <v>69</v>
      </c>
      <c r="C31" s="4">
        <v>45677</v>
      </c>
      <c r="D31" s="4">
        <v>45716</v>
      </c>
      <c r="E31">
        <f t="shared" si="1"/>
        <v>39</v>
      </c>
      <c r="F31">
        <f t="shared" ca="1" si="2"/>
        <v>0</v>
      </c>
      <c r="G31" t="s">
        <v>17</v>
      </c>
      <c r="H31" t="s">
        <v>0</v>
      </c>
      <c r="I31" s="1">
        <v>3.9</v>
      </c>
      <c r="J31">
        <v>5</v>
      </c>
      <c r="K31" s="1">
        <v>15</v>
      </c>
      <c r="L31" s="1">
        <v>1.1000000000000001</v>
      </c>
      <c r="M31" s="1">
        <f t="shared" si="3"/>
        <v>69.5</v>
      </c>
      <c r="N31" s="1">
        <f t="shared" si="4"/>
        <v>3.7610000000000001</v>
      </c>
      <c r="O31" s="1">
        <f t="shared" si="5"/>
        <v>320.5</v>
      </c>
      <c r="P31" s="3">
        <f t="shared" si="6"/>
        <v>0.43201728069122763</v>
      </c>
      <c r="Q31" s="1">
        <f t="shared" si="7"/>
        <v>69.5</v>
      </c>
      <c r="R31" s="1">
        <f t="shared" si="8"/>
        <v>3.75</v>
      </c>
      <c r="S31" s="1">
        <f t="shared" ca="1" si="9"/>
        <v>69.5</v>
      </c>
      <c r="X31" s="34">
        <f t="shared" si="11"/>
        <v>0</v>
      </c>
      <c r="Y31" s="34">
        <f t="shared" si="12"/>
        <v>69.5</v>
      </c>
    </row>
    <row r="32" spans="1:28" x14ac:dyDescent="0.25">
      <c r="A32" t="s">
        <v>68</v>
      </c>
      <c r="B32" t="s">
        <v>69</v>
      </c>
      <c r="C32" s="4">
        <v>45677</v>
      </c>
      <c r="D32" s="4">
        <v>45737</v>
      </c>
      <c r="E32">
        <f t="shared" si="1"/>
        <v>60</v>
      </c>
      <c r="F32">
        <f t="shared" ca="1" si="2"/>
        <v>0</v>
      </c>
      <c r="G32" t="s">
        <v>17</v>
      </c>
      <c r="H32" t="s">
        <v>0</v>
      </c>
      <c r="I32" s="1">
        <v>3.7</v>
      </c>
      <c r="J32">
        <v>5</v>
      </c>
      <c r="K32" s="1">
        <v>12</v>
      </c>
      <c r="L32" s="1">
        <v>1.1000000000000001</v>
      </c>
      <c r="M32" s="1">
        <f t="shared" si="3"/>
        <v>54.5</v>
      </c>
      <c r="N32" s="1">
        <f t="shared" si="4"/>
        <v>3.5910000000000002</v>
      </c>
      <c r="O32" s="1">
        <f t="shared" si="5"/>
        <v>315.5</v>
      </c>
      <c r="P32" s="3">
        <f t="shared" si="6"/>
        <v>0.22820919175911253</v>
      </c>
      <c r="Q32" s="1">
        <f t="shared" si="7"/>
        <v>54.5</v>
      </c>
      <c r="R32" s="1">
        <f t="shared" si="8"/>
        <v>3.58</v>
      </c>
      <c r="S32" s="1">
        <f t="shared" ca="1" si="9"/>
        <v>54.5</v>
      </c>
      <c r="X32" s="34">
        <f t="shared" si="11"/>
        <v>0</v>
      </c>
      <c r="Y32" s="34">
        <f t="shared" si="12"/>
        <v>54.5</v>
      </c>
    </row>
  </sheetData>
  <autoFilter ref="A1:Y32" xr:uid="{6C5D5697-FF21-48C8-BAE6-F041839AE6B9}"/>
  <sortState xmlns:xlrd2="http://schemas.microsoft.com/office/spreadsheetml/2017/richdata2" ref="A3:Y32">
    <sortCondition ref="C3:C32"/>
  </sortState>
  <mergeCells count="4">
    <mergeCell ref="D2:D3"/>
    <mergeCell ref="E2:E3"/>
    <mergeCell ref="L2:L3"/>
    <mergeCell ref="R2:R3"/>
  </mergeCells>
  <conditionalFormatting sqref="A2:A3 S2:Y3">
    <cfRule type="expression" dxfId="26" priority="1">
      <formula>AND(#REF!&lt;=30,#REF!&gt;0)</formula>
    </cfRule>
  </conditionalFormatting>
  <conditionalFormatting sqref="A4:V20 A21:R21 A22:W1048576 A1:Y1 W4:W21 T21:V21">
    <cfRule type="expression" dxfId="25" priority="13">
      <formula>AND($F1&lt;=30,$F1&gt;0)</formula>
    </cfRule>
  </conditionalFormatting>
  <conditionalFormatting sqref="D4:D5001">
    <cfRule type="cellIs" dxfId="24" priority="6" operator="greaterThan">
      <formula>TODAY()</formula>
    </cfRule>
    <cfRule type="notContainsBlanks" dxfId="23" priority="7">
      <formula>LEN(TRIM(D4))&gt;0</formula>
    </cfRule>
  </conditionalFormatting>
  <conditionalFormatting sqref="P4:P5001">
    <cfRule type="expression" dxfId="22" priority="3">
      <formula>AND($P4&gt;=3%,$P4&lt;9%)</formula>
    </cfRule>
    <cfRule type="expression" dxfId="21" priority="4">
      <formula>AND($P4&lt;3%,$P4&gt;0)</formula>
    </cfRule>
    <cfRule type="expression" dxfId="20" priority="5">
      <formula>AND($P4&gt;=9%,$P4&gt;0)</formula>
    </cfRule>
  </conditionalFormatting>
  <pageMargins left="0.7" right="0.7" top="0.78740157499999996" bottom="0.78740157499999996" header="0.3" footer="0.3"/>
  <pageSetup paperSize="3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6910-837B-4338-B240-00AD8F11A347}">
  <dimension ref="A1:AB33"/>
  <sheetViews>
    <sheetView workbookViewId="0">
      <selection activeCell="Y4" sqref="Y4:Z4"/>
    </sheetView>
  </sheetViews>
  <sheetFormatPr baseColWidth="10" defaultRowHeight="15" x14ac:dyDescent="0.25"/>
  <cols>
    <col min="1" max="1" width="8.7109375" bestFit="1" customWidth="1"/>
    <col min="2" max="2" width="10.7109375" bestFit="1" customWidth="1"/>
    <col min="3" max="4" width="12" style="4" customWidth="1"/>
    <col min="5" max="5" width="10.7109375" customWidth="1"/>
    <col min="6" max="6" width="16.140625" bestFit="1" customWidth="1"/>
    <col min="7" max="7" width="8.28515625" customWidth="1"/>
    <col min="8" max="8" width="13.7109375" bestFit="1" customWidth="1"/>
    <col min="9" max="9" width="11.140625" style="1" bestFit="1" customWidth="1"/>
    <col min="10" max="10" width="11.5703125" bestFit="1" customWidth="1"/>
    <col min="11" max="11" width="12.28515625" style="1" bestFit="1" customWidth="1"/>
    <col min="12" max="12" width="14.28515625" style="1" bestFit="1" customWidth="1"/>
    <col min="13" max="13" width="14" style="1" bestFit="1" customWidth="1"/>
    <col min="14" max="14" width="11.140625" style="1" customWidth="1"/>
    <col min="15" max="15" width="12" style="1" bestFit="1" customWidth="1"/>
    <col min="16" max="16" width="10.42578125" style="3" customWidth="1"/>
    <col min="17" max="18" width="11.85546875" style="1" customWidth="1"/>
    <col min="19" max="19" width="5.28515625" style="1" customWidth="1"/>
    <col min="20" max="20" width="10.7109375" style="4" customWidth="1"/>
    <col min="21" max="22" width="10.7109375" style="8" customWidth="1"/>
    <col min="25" max="25" width="20.28515625" bestFit="1" customWidth="1"/>
    <col min="26" max="26" width="11.42578125" style="1"/>
  </cols>
  <sheetData>
    <row r="1" spans="1:28" ht="34.5" customHeight="1" x14ac:dyDescent="0.25">
      <c r="A1" s="15" t="s">
        <v>31</v>
      </c>
      <c r="B1" s="15" t="s">
        <v>5</v>
      </c>
      <c r="C1" s="16" t="s">
        <v>30</v>
      </c>
      <c r="D1" s="16" t="s">
        <v>6</v>
      </c>
      <c r="E1" s="15" t="s">
        <v>12</v>
      </c>
      <c r="F1" s="15" t="s">
        <v>29</v>
      </c>
      <c r="G1" s="15" t="s">
        <v>32</v>
      </c>
      <c r="H1" s="15" t="s">
        <v>2</v>
      </c>
      <c r="I1" s="17" t="s">
        <v>4</v>
      </c>
      <c r="J1" s="15" t="s">
        <v>33</v>
      </c>
      <c r="K1" s="17" t="s">
        <v>11</v>
      </c>
      <c r="L1" s="17" t="s">
        <v>8</v>
      </c>
      <c r="M1" s="17" t="s">
        <v>34</v>
      </c>
      <c r="N1" s="17" t="s">
        <v>48</v>
      </c>
      <c r="O1" s="17" t="s">
        <v>41</v>
      </c>
      <c r="P1" s="18" t="s">
        <v>42</v>
      </c>
      <c r="Q1" s="17" t="s">
        <v>35</v>
      </c>
      <c r="R1" s="17" t="s">
        <v>62</v>
      </c>
      <c r="S1" s="17"/>
      <c r="T1" s="16" t="s">
        <v>50</v>
      </c>
      <c r="U1" s="19" t="s">
        <v>7</v>
      </c>
      <c r="V1" s="19" t="s">
        <v>51</v>
      </c>
      <c r="W1" s="19" t="s">
        <v>11</v>
      </c>
      <c r="Z1" s="5"/>
    </row>
    <row r="2" spans="1:28" ht="20.25" customHeight="1" x14ac:dyDescent="0.25">
      <c r="A2" s="37"/>
      <c r="B2" s="36">
        <f>COUNT(E4:E10000)</f>
        <v>27</v>
      </c>
      <c r="C2" s="37"/>
      <c r="D2" s="47" t="s">
        <v>79</v>
      </c>
      <c r="E2" s="49">
        <f>SUM(E4:E10000)/B2</f>
        <v>136.62962962962962</v>
      </c>
      <c r="F2" s="37"/>
      <c r="G2" s="37"/>
      <c r="H2" s="37"/>
      <c r="I2" s="37"/>
      <c r="J2" s="37"/>
      <c r="K2" s="37"/>
      <c r="L2" s="51">
        <f>SUM(L4:L10000)</f>
        <v>29.860000000000017</v>
      </c>
      <c r="M2" s="37"/>
      <c r="N2" s="37"/>
      <c r="O2" s="37"/>
      <c r="P2" s="37"/>
      <c r="Q2" s="37"/>
      <c r="R2" s="51" t="s">
        <v>61</v>
      </c>
      <c r="S2" s="44"/>
      <c r="T2" s="38"/>
      <c r="U2" s="38"/>
      <c r="V2" s="38"/>
      <c r="W2" s="38">
        <f>SUM(W4:W10000)</f>
        <v>3514.6082008436965</v>
      </c>
      <c r="Z2" s="35"/>
    </row>
    <row r="3" spans="1:28" ht="20.25" customHeight="1" x14ac:dyDescent="0.25">
      <c r="A3" s="39"/>
      <c r="B3" s="40"/>
      <c r="C3" s="39"/>
      <c r="D3" s="48"/>
      <c r="E3" s="50"/>
      <c r="F3" s="39"/>
      <c r="G3" s="39"/>
      <c r="H3" s="39"/>
      <c r="I3" s="39"/>
      <c r="J3" s="39"/>
      <c r="K3" s="39"/>
      <c r="L3" s="52"/>
      <c r="M3" s="39"/>
      <c r="N3" s="39"/>
      <c r="O3" s="39"/>
      <c r="P3" s="39"/>
      <c r="Q3" s="39"/>
      <c r="R3" s="52"/>
      <c r="S3" s="43"/>
      <c r="T3" s="42"/>
      <c r="U3" s="42"/>
      <c r="V3" s="41" t="s">
        <v>78</v>
      </c>
      <c r="W3" s="42">
        <f>W2/B2</f>
        <v>130.17067410532209</v>
      </c>
      <c r="Z3" s="35"/>
    </row>
    <row r="4" spans="1:28" x14ac:dyDescent="0.25">
      <c r="A4" t="s">
        <v>22</v>
      </c>
      <c r="B4" t="s">
        <v>23</v>
      </c>
      <c r="C4" s="4">
        <v>45349</v>
      </c>
      <c r="D4" s="4">
        <v>45464</v>
      </c>
      <c r="E4">
        <f t="shared" ref="E4:E30" si="0">D4-C4</f>
        <v>115</v>
      </c>
      <c r="F4">
        <f t="shared" ref="F4:F30" ca="1" si="1">IF(D4&gt;TODAY(),D4-TODAY(),0)</f>
        <v>0</v>
      </c>
      <c r="G4" t="s">
        <v>17</v>
      </c>
      <c r="H4" t="s">
        <v>0</v>
      </c>
      <c r="I4" s="1">
        <v>6</v>
      </c>
      <c r="J4">
        <v>1</v>
      </c>
      <c r="K4" s="1">
        <v>33</v>
      </c>
      <c r="L4" s="1">
        <v>1.1000000000000001</v>
      </c>
      <c r="M4" s="1">
        <f t="shared" ref="M4:M30" si="2">(K4-L4)*J4</f>
        <v>31.9</v>
      </c>
      <c r="N4" s="1">
        <f t="shared" ref="N4:N30" si="3">I4-M4/(J4*100)</f>
        <v>5.681</v>
      </c>
      <c r="O4" s="1">
        <f t="shared" ref="O4:O30" si="4">(I4*100-M4)*J4</f>
        <v>568.1</v>
      </c>
      <c r="P4" s="3">
        <f t="shared" ref="P4:P30" si="5">360/(D4-C4)*(K4/O4)</f>
        <v>0.18184183739849843</v>
      </c>
      <c r="Q4" s="1">
        <f t="shared" ref="Q4:Q10" si="6">IF(H4="EUR",M4,M4*$Z$4)</f>
        <v>31.9</v>
      </c>
      <c r="R4" s="1">
        <f t="shared" ref="R4:R30" si="7">IF(G4="P",(I4*100-K4)/100,0)</f>
        <v>5.67</v>
      </c>
      <c r="T4" s="4" t="s">
        <v>49</v>
      </c>
      <c r="U4" s="8">
        <v>0</v>
      </c>
      <c r="V4" s="8">
        <f t="shared" ref="V4:V27" si="8">IF(G4="P",U4*100*J4,0)</f>
        <v>0</v>
      </c>
      <c r="W4" s="14">
        <f>IF($C4&lt;DATE(2025,1,1),$Q4,0)</f>
        <v>31.9</v>
      </c>
      <c r="Y4" t="s">
        <v>36</v>
      </c>
      <c r="Z4" s="6">
        <v>0.93</v>
      </c>
    </row>
    <row r="5" spans="1:28" x14ac:dyDescent="0.25">
      <c r="A5" t="s">
        <v>9</v>
      </c>
      <c r="B5" t="s">
        <v>9</v>
      </c>
      <c r="C5" s="4">
        <v>45364</v>
      </c>
      <c r="D5" s="4">
        <v>45429</v>
      </c>
      <c r="E5">
        <f t="shared" si="0"/>
        <v>65</v>
      </c>
      <c r="F5">
        <f t="shared" ca="1" si="1"/>
        <v>0</v>
      </c>
      <c r="G5" t="s">
        <v>17</v>
      </c>
      <c r="H5" t="s">
        <v>0</v>
      </c>
      <c r="I5" s="1">
        <v>36</v>
      </c>
      <c r="J5">
        <v>1</v>
      </c>
      <c r="K5" s="1">
        <v>32</v>
      </c>
      <c r="L5" s="1">
        <v>1.1000000000000001</v>
      </c>
      <c r="M5" s="1">
        <f t="shared" si="2"/>
        <v>30.9</v>
      </c>
      <c r="N5" s="1">
        <f t="shared" si="3"/>
        <v>35.691000000000003</v>
      </c>
      <c r="O5" s="1">
        <f t="shared" si="4"/>
        <v>3569.1</v>
      </c>
      <c r="P5" s="3">
        <f t="shared" si="5"/>
        <v>4.9656991743231974E-2</v>
      </c>
      <c r="Q5" s="1">
        <f t="shared" si="6"/>
        <v>30.9</v>
      </c>
      <c r="R5" s="1">
        <f t="shared" si="7"/>
        <v>35.68</v>
      </c>
      <c r="T5" s="4">
        <v>45450</v>
      </c>
      <c r="U5" s="8">
        <v>2.1</v>
      </c>
      <c r="V5" s="8">
        <f t="shared" si="8"/>
        <v>210</v>
      </c>
      <c r="W5" s="14">
        <f>IF($C5&lt;DATE(2025,1,1),$Q5,0)</f>
        <v>30.9</v>
      </c>
      <c r="X5" s="45"/>
      <c r="Y5" s="4" t="s">
        <v>37</v>
      </c>
      <c r="Z5" s="31">
        <f>SUM(Q:Q)</f>
        <v>3771.3082008436968</v>
      </c>
    </row>
    <row r="6" spans="1:28" x14ac:dyDescent="0.25">
      <c r="A6" t="s">
        <v>15</v>
      </c>
      <c r="B6" t="s">
        <v>16</v>
      </c>
      <c r="C6" s="4">
        <v>45371</v>
      </c>
      <c r="D6" s="4">
        <v>45429</v>
      </c>
      <c r="E6">
        <f t="shared" si="0"/>
        <v>58</v>
      </c>
      <c r="F6">
        <f t="shared" ca="1" si="1"/>
        <v>0</v>
      </c>
      <c r="G6" t="s">
        <v>17</v>
      </c>
      <c r="H6" t="s">
        <v>0</v>
      </c>
      <c r="I6" s="1">
        <v>11.2</v>
      </c>
      <c r="J6">
        <v>1</v>
      </c>
      <c r="K6" s="1">
        <v>10</v>
      </c>
      <c r="L6" s="1">
        <v>1.1000000000000001</v>
      </c>
      <c r="M6" s="1">
        <f t="shared" si="2"/>
        <v>8.9</v>
      </c>
      <c r="N6" s="1">
        <f t="shared" si="3"/>
        <v>11.110999999999999</v>
      </c>
      <c r="O6" s="1">
        <f t="shared" si="4"/>
        <v>1111.0999999999999</v>
      </c>
      <c r="P6" s="3">
        <f t="shared" si="5"/>
        <v>5.5862627591793161E-2</v>
      </c>
      <c r="Q6" s="1">
        <f t="shared" si="6"/>
        <v>8.9</v>
      </c>
      <c r="R6" s="1">
        <f t="shared" si="7"/>
        <v>11.1</v>
      </c>
      <c r="T6" s="4">
        <v>45429</v>
      </c>
      <c r="U6" s="8">
        <v>0.53</v>
      </c>
      <c r="V6" s="8">
        <f t="shared" si="8"/>
        <v>53</v>
      </c>
      <c r="W6" s="14">
        <f>IF($C6&lt;DATE(2025,1,1),$Q6,0)</f>
        <v>8.9</v>
      </c>
      <c r="X6" s="45"/>
      <c r="Y6" t="s">
        <v>38</v>
      </c>
      <c r="Z6" s="7">
        <f>SUM(W:W)-W2</f>
        <v>3644.7788749490187</v>
      </c>
    </row>
    <row r="7" spans="1:28" x14ac:dyDescent="0.25">
      <c r="A7" t="s">
        <v>13</v>
      </c>
      <c r="B7" t="s">
        <v>14</v>
      </c>
      <c r="C7" s="4">
        <v>45382</v>
      </c>
      <c r="D7" s="4">
        <v>45408</v>
      </c>
      <c r="E7">
        <f t="shared" si="0"/>
        <v>26</v>
      </c>
      <c r="F7">
        <f t="shared" ca="1" si="1"/>
        <v>0</v>
      </c>
      <c r="G7" t="s">
        <v>17</v>
      </c>
      <c r="H7" t="s">
        <v>0</v>
      </c>
      <c r="I7" s="14">
        <v>47</v>
      </c>
      <c r="J7">
        <v>1</v>
      </c>
      <c r="K7" s="14">
        <v>65</v>
      </c>
      <c r="L7" s="14">
        <v>1.1000000000000001</v>
      </c>
      <c r="M7" s="14">
        <f t="shared" si="2"/>
        <v>63.9</v>
      </c>
      <c r="N7" s="14">
        <f t="shared" si="3"/>
        <v>46.360999999999997</v>
      </c>
      <c r="O7" s="1">
        <f t="shared" si="4"/>
        <v>4636.1000000000004</v>
      </c>
      <c r="P7" s="30">
        <f t="shared" si="5"/>
        <v>0.19412868574879746</v>
      </c>
      <c r="Q7" s="14">
        <f t="shared" si="6"/>
        <v>63.9</v>
      </c>
      <c r="R7" s="14">
        <f t="shared" si="7"/>
        <v>46.35</v>
      </c>
      <c r="S7" s="14"/>
      <c r="T7" s="4">
        <v>45408</v>
      </c>
      <c r="U7" s="8">
        <v>3.4</v>
      </c>
      <c r="V7" s="8">
        <f t="shared" si="8"/>
        <v>340</v>
      </c>
      <c r="W7" s="14">
        <f>IF($C7&lt;DATE(2025,1,1),$Q7,0)</f>
        <v>63.9</v>
      </c>
      <c r="X7" s="45"/>
    </row>
    <row r="8" spans="1:28" x14ac:dyDescent="0.25">
      <c r="A8" t="s">
        <v>18</v>
      </c>
      <c r="B8" t="s">
        <v>19</v>
      </c>
      <c r="C8" s="4">
        <v>45385</v>
      </c>
      <c r="D8" s="4">
        <v>45555</v>
      </c>
      <c r="E8">
        <f t="shared" si="0"/>
        <v>170</v>
      </c>
      <c r="F8">
        <f t="shared" ca="1" si="1"/>
        <v>0</v>
      </c>
      <c r="G8" t="s">
        <v>17</v>
      </c>
      <c r="H8" t="s">
        <v>0</v>
      </c>
      <c r="I8" s="1">
        <v>28</v>
      </c>
      <c r="J8">
        <v>1</v>
      </c>
      <c r="K8" s="1">
        <v>119</v>
      </c>
      <c r="L8" s="1">
        <v>1.1000000000000001</v>
      </c>
      <c r="M8" s="1">
        <f t="shared" si="2"/>
        <v>117.9</v>
      </c>
      <c r="N8" s="1">
        <f t="shared" si="3"/>
        <v>26.821000000000002</v>
      </c>
      <c r="O8" s="1">
        <f t="shared" si="4"/>
        <v>2682.1</v>
      </c>
      <c r="P8" s="3">
        <f t="shared" si="5"/>
        <v>9.3956228328548538E-2</v>
      </c>
      <c r="Q8" s="1">
        <f t="shared" si="6"/>
        <v>117.9</v>
      </c>
      <c r="R8" s="1">
        <f t="shared" si="7"/>
        <v>26.81</v>
      </c>
      <c r="T8" s="4">
        <v>45348</v>
      </c>
      <c r="U8" s="8">
        <v>0.35</v>
      </c>
      <c r="V8" s="8">
        <f t="shared" si="8"/>
        <v>35</v>
      </c>
      <c r="W8" s="14">
        <f>IF($C8&lt;DATE(2025,1,1),$Q8,0)</f>
        <v>117.9</v>
      </c>
      <c r="X8" s="45"/>
    </row>
    <row r="9" spans="1:28" x14ac:dyDescent="0.25">
      <c r="A9" s="9" t="s">
        <v>20</v>
      </c>
      <c r="B9" s="9" t="s">
        <v>21</v>
      </c>
      <c r="C9" s="10">
        <v>45385</v>
      </c>
      <c r="D9" s="10">
        <v>45555</v>
      </c>
      <c r="E9" s="9">
        <f t="shared" si="0"/>
        <v>170</v>
      </c>
      <c r="F9" s="9">
        <f t="shared" ca="1" si="1"/>
        <v>0</v>
      </c>
      <c r="G9" s="9" t="s">
        <v>17</v>
      </c>
      <c r="H9" s="9" t="s">
        <v>0</v>
      </c>
      <c r="I9" s="11">
        <v>6.4</v>
      </c>
      <c r="J9" s="9">
        <v>4</v>
      </c>
      <c r="K9" s="11">
        <v>32</v>
      </c>
      <c r="L9" s="11">
        <v>1.1000000000000001</v>
      </c>
      <c r="M9" s="11">
        <f t="shared" si="2"/>
        <v>123.6</v>
      </c>
      <c r="N9" s="11">
        <f t="shared" si="3"/>
        <v>6.0910000000000002</v>
      </c>
      <c r="O9" s="11">
        <f t="shared" si="4"/>
        <v>2065.6</v>
      </c>
      <c r="P9" s="12">
        <f t="shared" si="5"/>
        <v>3.2806306101061652E-2</v>
      </c>
      <c r="Q9" s="11">
        <f t="shared" si="6"/>
        <v>123.6</v>
      </c>
      <c r="R9" s="11">
        <f t="shared" si="7"/>
        <v>6.08</v>
      </c>
      <c r="S9" s="11"/>
      <c r="T9" s="10">
        <v>45420</v>
      </c>
      <c r="U9" s="13">
        <v>0.3</v>
      </c>
      <c r="V9" s="8">
        <f t="shared" si="8"/>
        <v>120</v>
      </c>
      <c r="W9" s="14">
        <v>-0.8</v>
      </c>
      <c r="X9" s="46"/>
      <c r="Y9" t="s">
        <v>52</v>
      </c>
      <c r="Z9" s="1">
        <v>1000</v>
      </c>
    </row>
    <row r="10" spans="1:28" x14ac:dyDescent="0.25">
      <c r="A10" t="s">
        <v>15</v>
      </c>
      <c r="B10" t="s">
        <v>16</v>
      </c>
      <c r="C10" s="4">
        <v>45390</v>
      </c>
      <c r="D10" s="4">
        <v>45737</v>
      </c>
      <c r="E10">
        <f t="shared" si="0"/>
        <v>347</v>
      </c>
      <c r="F10">
        <f t="shared" ca="1" si="1"/>
        <v>0</v>
      </c>
      <c r="G10" t="s">
        <v>17</v>
      </c>
      <c r="H10" t="s">
        <v>0</v>
      </c>
      <c r="I10" s="1">
        <v>11</v>
      </c>
      <c r="J10">
        <v>3</v>
      </c>
      <c r="K10" s="1">
        <v>47</v>
      </c>
      <c r="L10" s="1">
        <v>1.1000000000000001</v>
      </c>
      <c r="M10" s="1">
        <f t="shared" si="2"/>
        <v>137.69999999999999</v>
      </c>
      <c r="N10" s="1">
        <f t="shared" si="3"/>
        <v>10.541</v>
      </c>
      <c r="O10" s="1">
        <f t="shared" si="4"/>
        <v>2886.8999999999996</v>
      </c>
      <c r="P10" s="3">
        <f t="shared" si="5"/>
        <v>1.6890369225268112E-2</v>
      </c>
      <c r="Q10" s="1">
        <f t="shared" si="6"/>
        <v>137.69999999999999</v>
      </c>
      <c r="R10" s="1">
        <f t="shared" si="7"/>
        <v>10.53</v>
      </c>
      <c r="T10" s="4">
        <v>45429</v>
      </c>
      <c r="U10" s="8">
        <v>0.53</v>
      </c>
      <c r="V10" s="8">
        <f t="shared" si="8"/>
        <v>159</v>
      </c>
      <c r="W10" s="14">
        <v>5.4</v>
      </c>
      <c r="X10" s="45"/>
      <c r="Y10" t="s">
        <v>54</v>
      </c>
      <c r="Z10" s="33">
        <v>0.25</v>
      </c>
    </row>
    <row r="11" spans="1:28" x14ac:dyDescent="0.25">
      <c r="A11" t="s">
        <v>24</v>
      </c>
      <c r="B11" t="s">
        <v>24</v>
      </c>
      <c r="C11" s="4">
        <v>45411</v>
      </c>
      <c r="D11" s="4">
        <v>45646</v>
      </c>
      <c r="E11">
        <f t="shared" si="0"/>
        <v>235</v>
      </c>
      <c r="F11">
        <f t="shared" ca="1" si="1"/>
        <v>0</v>
      </c>
      <c r="G11" t="s">
        <v>17</v>
      </c>
      <c r="H11" t="s">
        <v>1</v>
      </c>
      <c r="I11" s="1">
        <v>110</v>
      </c>
      <c r="J11">
        <v>1</v>
      </c>
      <c r="K11" s="1">
        <v>410</v>
      </c>
      <c r="L11" s="1">
        <v>1.05</v>
      </c>
      <c r="M11" s="1">
        <f t="shared" si="2"/>
        <v>408.95</v>
      </c>
      <c r="N11" s="1">
        <f t="shared" si="3"/>
        <v>105.9105</v>
      </c>
      <c r="O11" s="1">
        <f t="shared" si="4"/>
        <v>10591.05</v>
      </c>
      <c r="P11" s="3">
        <f t="shared" si="5"/>
        <v>5.9303384119891674E-2</v>
      </c>
      <c r="Q11" s="1">
        <f>IF(H11="EUR",M11,M11/AB11)</f>
        <v>381.48320895522386</v>
      </c>
      <c r="R11" s="1">
        <f t="shared" si="7"/>
        <v>105.9</v>
      </c>
      <c r="T11" s="4" t="s">
        <v>49</v>
      </c>
      <c r="U11" s="8">
        <v>0</v>
      </c>
      <c r="V11" s="8">
        <f t="shared" si="8"/>
        <v>0</v>
      </c>
      <c r="W11" s="14">
        <f>Q11</f>
        <v>381.48320895522386</v>
      </c>
      <c r="X11" s="45"/>
      <c r="Y11" t="s">
        <v>53</v>
      </c>
      <c r="Z11" s="1">
        <f>IF(Z6-Z9&gt;0,Z6-Z9,0)*Z10</f>
        <v>661.19471873725468</v>
      </c>
      <c r="AB11">
        <v>1.0720000000000001</v>
      </c>
    </row>
    <row r="12" spans="1:28" x14ac:dyDescent="0.25">
      <c r="A12" t="s">
        <v>25</v>
      </c>
      <c r="B12" t="s">
        <v>26</v>
      </c>
      <c r="C12" s="4">
        <v>45412</v>
      </c>
      <c r="D12" s="4">
        <v>45583</v>
      </c>
      <c r="E12">
        <f t="shared" si="0"/>
        <v>171</v>
      </c>
      <c r="F12">
        <f t="shared" ca="1" si="1"/>
        <v>0</v>
      </c>
      <c r="G12" t="s">
        <v>17</v>
      </c>
      <c r="H12" t="s">
        <v>1</v>
      </c>
      <c r="I12" s="1">
        <v>32.5</v>
      </c>
      <c r="J12">
        <v>2</v>
      </c>
      <c r="K12" s="1">
        <v>42</v>
      </c>
      <c r="L12" s="1">
        <v>1.55</v>
      </c>
      <c r="M12" s="1">
        <f t="shared" si="2"/>
        <v>80.900000000000006</v>
      </c>
      <c r="N12" s="1">
        <f t="shared" si="3"/>
        <v>32.095500000000001</v>
      </c>
      <c r="O12" s="1">
        <f t="shared" si="4"/>
        <v>6338.2</v>
      </c>
      <c r="P12" s="3">
        <f t="shared" si="5"/>
        <v>1.3950498979454568E-2</v>
      </c>
      <c r="Q12" s="1">
        <f t="shared" ref="Q12:Q15" si="9">IF(H12="EUR",M12,M12/AB12)</f>
        <v>75.480500093300989</v>
      </c>
      <c r="R12" s="1">
        <f t="shared" si="7"/>
        <v>32.08</v>
      </c>
      <c r="T12" s="4">
        <v>45449</v>
      </c>
      <c r="U12" s="8">
        <v>0.4</v>
      </c>
      <c r="V12" s="8">
        <f t="shared" si="8"/>
        <v>80</v>
      </c>
      <c r="W12" s="14">
        <f t="shared" ref="W12:W15" si="10">Q12</f>
        <v>75.480500093300989</v>
      </c>
      <c r="X12" s="45"/>
      <c r="Y12" t="s">
        <v>76</v>
      </c>
      <c r="Z12" s="14">
        <f>Z6-Z11</f>
        <v>2983.5841562117639</v>
      </c>
      <c r="AB12">
        <v>1.0718000000000001</v>
      </c>
    </row>
    <row r="13" spans="1:28" x14ac:dyDescent="0.25">
      <c r="A13" t="s">
        <v>27</v>
      </c>
      <c r="B13" t="s">
        <v>28</v>
      </c>
      <c r="C13" s="4">
        <v>45432</v>
      </c>
      <c r="D13" s="4">
        <v>45674</v>
      </c>
      <c r="E13">
        <f t="shared" si="0"/>
        <v>242</v>
      </c>
      <c r="F13">
        <f t="shared" ca="1" si="1"/>
        <v>0</v>
      </c>
      <c r="G13" t="s">
        <v>17</v>
      </c>
      <c r="H13" t="s">
        <v>1</v>
      </c>
      <c r="I13" s="1">
        <v>120</v>
      </c>
      <c r="J13">
        <v>1</v>
      </c>
      <c r="K13" s="1">
        <v>480</v>
      </c>
      <c r="L13" s="1">
        <v>1.55</v>
      </c>
      <c r="M13" s="1">
        <f t="shared" si="2"/>
        <v>478.45</v>
      </c>
      <c r="N13" s="1">
        <f t="shared" si="3"/>
        <v>115.21550000000001</v>
      </c>
      <c r="O13" s="1">
        <f t="shared" si="4"/>
        <v>11521.55</v>
      </c>
      <c r="P13" s="3">
        <f t="shared" si="5"/>
        <v>6.1975132406391457E-2</v>
      </c>
      <c r="Q13" s="1">
        <f t="shared" si="9"/>
        <v>440.5211306509529</v>
      </c>
      <c r="R13" s="1">
        <f t="shared" si="7"/>
        <v>115.2</v>
      </c>
      <c r="T13" s="4" t="s">
        <v>49</v>
      </c>
      <c r="U13" s="8">
        <v>0</v>
      </c>
      <c r="V13" s="8">
        <f t="shared" si="8"/>
        <v>0</v>
      </c>
      <c r="W13" s="14">
        <f t="shared" si="10"/>
        <v>440.5211306509529</v>
      </c>
      <c r="X13" s="45"/>
      <c r="Y13" t="s">
        <v>77</v>
      </c>
      <c r="Z13" s="1">
        <f>Z12/12</f>
        <v>248.63201301764698</v>
      </c>
      <c r="AB13">
        <v>1.0861000000000001</v>
      </c>
    </row>
    <row r="14" spans="1:28" x14ac:dyDescent="0.25">
      <c r="A14" t="s">
        <v>43</v>
      </c>
      <c r="B14" t="s">
        <v>44</v>
      </c>
      <c r="C14" s="4">
        <v>45488</v>
      </c>
      <c r="D14" s="4">
        <v>45611</v>
      </c>
      <c r="E14">
        <f t="shared" si="0"/>
        <v>123</v>
      </c>
      <c r="F14">
        <f t="shared" ca="1" si="1"/>
        <v>0</v>
      </c>
      <c r="G14" t="s">
        <v>17</v>
      </c>
      <c r="H14" t="s">
        <v>1</v>
      </c>
      <c r="I14" s="1">
        <v>60</v>
      </c>
      <c r="J14">
        <v>2</v>
      </c>
      <c r="K14" s="1">
        <v>78</v>
      </c>
      <c r="L14" s="1">
        <v>0.7</v>
      </c>
      <c r="M14" s="1">
        <f t="shared" si="2"/>
        <v>154.6</v>
      </c>
      <c r="N14" s="1">
        <f t="shared" si="3"/>
        <v>59.226999999999997</v>
      </c>
      <c r="O14" s="1">
        <f t="shared" si="4"/>
        <v>11690.8</v>
      </c>
      <c r="P14" s="3">
        <f t="shared" si="5"/>
        <v>1.9527550118625694E-2</v>
      </c>
      <c r="Q14" s="1">
        <f t="shared" si="9"/>
        <v>141.74383423489502</v>
      </c>
      <c r="R14" s="1">
        <f t="shared" si="7"/>
        <v>59.22</v>
      </c>
      <c r="T14" s="4">
        <v>45446</v>
      </c>
      <c r="U14" s="8">
        <v>0.37</v>
      </c>
      <c r="V14" s="8">
        <f t="shared" si="8"/>
        <v>74</v>
      </c>
      <c r="W14" s="14">
        <f t="shared" si="10"/>
        <v>141.74383423489502</v>
      </c>
      <c r="X14" s="45"/>
      <c r="AB14">
        <v>1.0907</v>
      </c>
    </row>
    <row r="15" spans="1:28" x14ac:dyDescent="0.25">
      <c r="A15" t="s">
        <v>39</v>
      </c>
      <c r="B15" t="s">
        <v>40</v>
      </c>
      <c r="C15" s="4">
        <v>45488</v>
      </c>
      <c r="D15" s="4">
        <v>45737</v>
      </c>
      <c r="E15">
        <f t="shared" si="0"/>
        <v>249</v>
      </c>
      <c r="F15">
        <f t="shared" ca="1" si="1"/>
        <v>0</v>
      </c>
      <c r="G15" t="s">
        <v>17</v>
      </c>
      <c r="H15" t="s">
        <v>1</v>
      </c>
      <c r="I15" s="1">
        <v>140</v>
      </c>
      <c r="J15">
        <v>1</v>
      </c>
      <c r="K15" s="1">
        <v>221</v>
      </c>
      <c r="L15" s="1">
        <v>0.81</v>
      </c>
      <c r="M15" s="1">
        <f t="shared" si="2"/>
        <v>220.19</v>
      </c>
      <c r="N15" s="1">
        <f t="shared" si="3"/>
        <v>137.79810000000001</v>
      </c>
      <c r="O15" s="1">
        <f t="shared" si="4"/>
        <v>13779.81</v>
      </c>
      <c r="P15" s="3">
        <f t="shared" si="5"/>
        <v>2.3187407684805279E-2</v>
      </c>
      <c r="Q15" s="1">
        <f t="shared" si="9"/>
        <v>201.87952690932428</v>
      </c>
      <c r="R15" s="1">
        <f t="shared" si="7"/>
        <v>137.79</v>
      </c>
      <c r="T15" s="4">
        <v>45453</v>
      </c>
      <c r="U15" s="8">
        <v>0.2</v>
      </c>
      <c r="V15" s="8">
        <f t="shared" si="8"/>
        <v>20</v>
      </c>
      <c r="W15" s="14">
        <f t="shared" si="10"/>
        <v>201.87952690932428</v>
      </c>
      <c r="X15" s="45"/>
      <c r="AB15">
        <v>1.0907</v>
      </c>
    </row>
    <row r="16" spans="1:28" x14ac:dyDescent="0.25">
      <c r="A16" t="s">
        <v>45</v>
      </c>
      <c r="B16" t="s">
        <v>46</v>
      </c>
      <c r="C16" s="4">
        <v>45490</v>
      </c>
      <c r="D16" s="4">
        <v>45828</v>
      </c>
      <c r="E16">
        <f t="shared" si="0"/>
        <v>338</v>
      </c>
      <c r="F16">
        <f t="shared" ca="1" si="1"/>
        <v>0</v>
      </c>
      <c r="G16" t="s">
        <v>47</v>
      </c>
      <c r="H16" t="s">
        <v>0</v>
      </c>
      <c r="I16" s="14">
        <v>70</v>
      </c>
      <c r="J16">
        <v>1</v>
      </c>
      <c r="K16" s="14">
        <v>280</v>
      </c>
      <c r="L16" s="14">
        <v>1.1000000000000001</v>
      </c>
      <c r="M16" s="14">
        <f t="shared" si="2"/>
        <v>278.89999999999998</v>
      </c>
      <c r="N16" s="14">
        <f t="shared" si="3"/>
        <v>67.210999999999999</v>
      </c>
      <c r="O16" s="1">
        <f t="shared" si="4"/>
        <v>6721.1</v>
      </c>
      <c r="P16" s="30">
        <f t="shared" si="5"/>
        <v>4.4371435043520542E-2</v>
      </c>
      <c r="Q16" s="14">
        <f t="shared" ref="Q16:Q30" si="11">IF(H16="EUR",M16,M16*$Z$4)</f>
        <v>278.89999999999998</v>
      </c>
      <c r="R16" s="14">
        <f t="shared" si="7"/>
        <v>0</v>
      </c>
      <c r="S16" s="14"/>
      <c r="T16" s="4">
        <v>45421</v>
      </c>
      <c r="U16" s="8">
        <v>5.26</v>
      </c>
      <c r="V16" s="8">
        <f t="shared" si="8"/>
        <v>0</v>
      </c>
      <c r="W16" s="14">
        <f t="shared" ref="W16:W30" si="12">IF($C16&lt;DATE(2025,1,1),$Q16,0)</f>
        <v>278.89999999999998</v>
      </c>
      <c r="X16" s="46"/>
    </row>
    <row r="17" spans="1:26" x14ac:dyDescent="0.25">
      <c r="A17" t="s">
        <v>57</v>
      </c>
      <c r="B17" t="s">
        <v>58</v>
      </c>
      <c r="C17" s="4">
        <v>45547</v>
      </c>
      <c r="D17" s="4">
        <v>45737</v>
      </c>
      <c r="E17">
        <f t="shared" si="0"/>
        <v>190</v>
      </c>
      <c r="F17">
        <f t="shared" ca="1" si="1"/>
        <v>0</v>
      </c>
      <c r="G17" t="s">
        <v>17</v>
      </c>
      <c r="H17" t="s">
        <v>0</v>
      </c>
      <c r="I17" s="1">
        <v>46</v>
      </c>
      <c r="J17">
        <v>2</v>
      </c>
      <c r="K17" s="1">
        <v>210</v>
      </c>
      <c r="L17" s="1">
        <v>1.1000000000000001</v>
      </c>
      <c r="M17" s="1">
        <f t="shared" si="2"/>
        <v>417.8</v>
      </c>
      <c r="N17" s="1">
        <f t="shared" si="3"/>
        <v>43.911000000000001</v>
      </c>
      <c r="O17" s="1">
        <f t="shared" si="4"/>
        <v>8364.4</v>
      </c>
      <c r="P17" s="3">
        <f t="shared" si="5"/>
        <v>4.7570027359058062E-2</v>
      </c>
      <c r="Q17" s="1">
        <f t="shared" si="11"/>
        <v>417.8</v>
      </c>
      <c r="R17" s="1">
        <f t="shared" si="7"/>
        <v>43.9</v>
      </c>
      <c r="T17" s="4">
        <v>45411</v>
      </c>
      <c r="U17" s="8">
        <v>2.2000000000000002</v>
      </c>
      <c r="V17" s="8">
        <f t="shared" si="8"/>
        <v>440.00000000000006</v>
      </c>
      <c r="W17" s="14">
        <f t="shared" si="12"/>
        <v>417.8</v>
      </c>
      <c r="X17" s="45"/>
      <c r="Z17" s="8"/>
    </row>
    <row r="18" spans="1:26" x14ac:dyDescent="0.25">
      <c r="A18" t="s">
        <v>45</v>
      </c>
      <c r="B18" t="s">
        <v>46</v>
      </c>
      <c r="C18" s="4">
        <v>45553</v>
      </c>
      <c r="D18" s="4">
        <v>45611</v>
      </c>
      <c r="E18">
        <f t="shared" si="0"/>
        <v>58</v>
      </c>
      <c r="F18">
        <f t="shared" ca="1" si="1"/>
        <v>0</v>
      </c>
      <c r="G18" t="s">
        <v>17</v>
      </c>
      <c r="H18" t="s">
        <v>0</v>
      </c>
      <c r="I18" s="1">
        <v>54</v>
      </c>
      <c r="J18">
        <v>1</v>
      </c>
      <c r="K18" s="1">
        <v>108</v>
      </c>
      <c r="L18" s="1">
        <v>1.1000000000000001</v>
      </c>
      <c r="M18" s="1">
        <f t="shared" si="2"/>
        <v>106.9</v>
      </c>
      <c r="N18" s="1">
        <f t="shared" si="3"/>
        <v>52.930999999999997</v>
      </c>
      <c r="O18" s="1">
        <f t="shared" si="4"/>
        <v>5293.1</v>
      </c>
      <c r="P18" s="3">
        <f t="shared" si="5"/>
        <v>0.12664503364497304</v>
      </c>
      <c r="Q18" s="1">
        <f t="shared" si="11"/>
        <v>106.9</v>
      </c>
      <c r="R18" s="1">
        <f t="shared" si="7"/>
        <v>52.92</v>
      </c>
      <c r="T18" s="4">
        <v>45421</v>
      </c>
      <c r="U18" s="8">
        <v>5.26</v>
      </c>
      <c r="V18" s="8">
        <f t="shared" si="8"/>
        <v>526</v>
      </c>
      <c r="W18" s="14">
        <f t="shared" si="12"/>
        <v>106.9</v>
      </c>
      <c r="X18" s="45"/>
    </row>
    <row r="19" spans="1:26" x14ac:dyDescent="0.25">
      <c r="A19" t="s">
        <v>20</v>
      </c>
      <c r="B19" t="s">
        <v>21</v>
      </c>
      <c r="C19" s="4">
        <v>45553</v>
      </c>
      <c r="D19" s="4">
        <v>45737</v>
      </c>
      <c r="E19">
        <f t="shared" si="0"/>
        <v>184</v>
      </c>
      <c r="F19">
        <f t="shared" ca="1" si="1"/>
        <v>0</v>
      </c>
      <c r="G19" t="s">
        <v>17</v>
      </c>
      <c r="H19" t="s">
        <v>0</v>
      </c>
      <c r="I19" s="1">
        <v>6.1</v>
      </c>
      <c r="J19">
        <v>4</v>
      </c>
      <c r="K19" s="1">
        <v>44</v>
      </c>
      <c r="L19" s="1">
        <v>1.1000000000000001</v>
      </c>
      <c r="M19" s="1">
        <f t="shared" si="2"/>
        <v>171.6</v>
      </c>
      <c r="N19" s="1">
        <f t="shared" si="3"/>
        <v>5.6709999999999994</v>
      </c>
      <c r="O19" s="1">
        <f t="shared" si="4"/>
        <v>1753.6</v>
      </c>
      <c r="P19" s="3">
        <f t="shared" si="5"/>
        <v>4.9091558235480802E-2</v>
      </c>
      <c r="Q19" s="1">
        <f t="shared" si="11"/>
        <v>171.6</v>
      </c>
      <c r="R19" s="1">
        <f t="shared" si="7"/>
        <v>5.66</v>
      </c>
      <c r="T19" s="4">
        <v>45420</v>
      </c>
      <c r="U19" s="8">
        <v>0.3</v>
      </c>
      <c r="V19" s="8">
        <f t="shared" si="8"/>
        <v>120</v>
      </c>
      <c r="W19" s="14">
        <f t="shared" si="12"/>
        <v>171.6</v>
      </c>
      <c r="X19" s="45"/>
    </row>
    <row r="20" spans="1:26" x14ac:dyDescent="0.25">
      <c r="A20" t="s">
        <v>55</v>
      </c>
      <c r="B20" t="s">
        <v>56</v>
      </c>
      <c r="C20" s="4">
        <v>45554</v>
      </c>
      <c r="D20" s="4">
        <v>45646</v>
      </c>
      <c r="E20">
        <f t="shared" si="0"/>
        <v>92</v>
      </c>
      <c r="F20">
        <f t="shared" ca="1" si="1"/>
        <v>0</v>
      </c>
      <c r="G20" t="s">
        <v>17</v>
      </c>
      <c r="H20" t="s">
        <v>0</v>
      </c>
      <c r="I20" s="1">
        <v>14</v>
      </c>
      <c r="J20">
        <v>3</v>
      </c>
      <c r="K20" s="1">
        <v>49</v>
      </c>
      <c r="L20" s="1">
        <v>1.1000000000000001</v>
      </c>
      <c r="M20" s="1">
        <f t="shared" si="2"/>
        <v>143.69999999999999</v>
      </c>
      <c r="N20" s="1">
        <f t="shared" si="3"/>
        <v>13.521000000000001</v>
      </c>
      <c r="O20" s="1">
        <f t="shared" si="4"/>
        <v>3768.8999999999996</v>
      </c>
      <c r="P20" s="3">
        <f t="shared" si="5"/>
        <v>5.0874029673056501E-2</v>
      </c>
      <c r="Q20" s="1">
        <f t="shared" si="11"/>
        <v>143.69999999999999</v>
      </c>
      <c r="R20" s="1">
        <f t="shared" si="7"/>
        <v>13.51</v>
      </c>
      <c r="T20" s="4">
        <v>45429</v>
      </c>
      <c r="U20" s="8">
        <v>0.45</v>
      </c>
      <c r="V20" s="8">
        <f t="shared" si="8"/>
        <v>135</v>
      </c>
      <c r="W20" s="14">
        <f t="shared" si="12"/>
        <v>143.69999999999999</v>
      </c>
      <c r="X20" s="45"/>
      <c r="Z20" s="14"/>
    </row>
    <row r="21" spans="1:26" x14ac:dyDescent="0.25">
      <c r="A21" t="s">
        <v>68</v>
      </c>
      <c r="B21" t="s">
        <v>69</v>
      </c>
      <c r="C21" s="4">
        <v>45574</v>
      </c>
      <c r="D21" s="4">
        <v>45646</v>
      </c>
      <c r="E21">
        <f t="shared" si="0"/>
        <v>72</v>
      </c>
      <c r="F21">
        <f t="shared" ca="1" si="1"/>
        <v>0</v>
      </c>
      <c r="G21" t="s">
        <v>17</v>
      </c>
      <c r="H21" t="s">
        <v>0</v>
      </c>
      <c r="I21" s="1">
        <v>3.05</v>
      </c>
      <c r="J21">
        <v>5</v>
      </c>
      <c r="K21" s="1">
        <v>17</v>
      </c>
      <c r="L21" s="1">
        <v>1.1000000000000001</v>
      </c>
      <c r="M21" s="1">
        <f t="shared" si="2"/>
        <v>79.5</v>
      </c>
      <c r="N21" s="1">
        <f t="shared" si="3"/>
        <v>2.891</v>
      </c>
      <c r="O21" s="1">
        <f t="shared" si="4"/>
        <v>1127.5</v>
      </c>
      <c r="P21" s="3">
        <f t="shared" si="5"/>
        <v>7.5388026607538808E-2</v>
      </c>
      <c r="Q21" s="1">
        <f t="shared" si="11"/>
        <v>79.5</v>
      </c>
      <c r="R21" s="1">
        <f t="shared" si="7"/>
        <v>2.88</v>
      </c>
      <c r="T21" s="4">
        <v>45327</v>
      </c>
      <c r="U21" s="8">
        <v>0.15</v>
      </c>
      <c r="V21" s="8">
        <f t="shared" si="8"/>
        <v>75</v>
      </c>
      <c r="W21" s="14">
        <f t="shared" si="12"/>
        <v>79.5</v>
      </c>
      <c r="X21" s="45"/>
    </row>
    <row r="22" spans="1:26" x14ac:dyDescent="0.25">
      <c r="A22" t="s">
        <v>68</v>
      </c>
      <c r="B22" t="s">
        <v>69</v>
      </c>
      <c r="C22" s="4">
        <v>45572</v>
      </c>
      <c r="D22" s="4">
        <v>45737</v>
      </c>
      <c r="E22">
        <f t="shared" si="0"/>
        <v>165</v>
      </c>
      <c r="F22">
        <f t="shared" ca="1" si="1"/>
        <v>0</v>
      </c>
      <c r="G22" t="s">
        <v>47</v>
      </c>
      <c r="H22" t="s">
        <v>0</v>
      </c>
      <c r="I22" s="1">
        <v>3.8</v>
      </c>
      <c r="J22">
        <v>5</v>
      </c>
      <c r="K22" s="1">
        <v>23</v>
      </c>
      <c r="L22" s="1">
        <v>1.1000000000000001</v>
      </c>
      <c r="M22" s="1">
        <f t="shared" si="2"/>
        <v>109.5</v>
      </c>
      <c r="N22" s="1">
        <f t="shared" si="3"/>
        <v>3.581</v>
      </c>
      <c r="O22" s="1">
        <f t="shared" si="4"/>
        <v>1352.5</v>
      </c>
      <c r="P22" s="3">
        <f t="shared" si="5"/>
        <v>3.7103007897832295E-2</v>
      </c>
      <c r="Q22" s="1">
        <f t="shared" si="11"/>
        <v>109.5</v>
      </c>
      <c r="R22" s="1">
        <f t="shared" si="7"/>
        <v>0</v>
      </c>
      <c r="T22" s="4">
        <v>45327</v>
      </c>
      <c r="U22" s="8">
        <v>0.15</v>
      </c>
      <c r="V22" s="8">
        <f t="shared" si="8"/>
        <v>0</v>
      </c>
      <c r="W22" s="14">
        <f t="shared" si="12"/>
        <v>109.5</v>
      </c>
      <c r="X22" s="45"/>
    </row>
    <row r="23" spans="1:26" x14ac:dyDescent="0.25">
      <c r="A23" t="s">
        <v>71</v>
      </c>
      <c r="B23" t="s">
        <v>72</v>
      </c>
      <c r="C23" s="4">
        <v>45616</v>
      </c>
      <c r="D23" s="4">
        <v>45709</v>
      </c>
      <c r="E23">
        <f t="shared" si="0"/>
        <v>93</v>
      </c>
      <c r="F23">
        <f t="shared" ca="1" si="1"/>
        <v>0</v>
      </c>
      <c r="G23" t="s">
        <v>17</v>
      </c>
      <c r="H23" t="s">
        <v>0</v>
      </c>
      <c r="I23" s="1">
        <v>25</v>
      </c>
      <c r="J23">
        <v>3</v>
      </c>
      <c r="K23" s="1">
        <v>33</v>
      </c>
      <c r="L23" s="1">
        <v>1.1000000000000001</v>
      </c>
      <c r="M23" s="1">
        <f t="shared" si="2"/>
        <v>95.699999999999989</v>
      </c>
      <c r="N23" s="1">
        <f t="shared" si="3"/>
        <v>24.681000000000001</v>
      </c>
      <c r="O23" s="1">
        <f t="shared" si="4"/>
        <v>7212.9000000000005</v>
      </c>
      <c r="P23" s="3">
        <f t="shared" si="5"/>
        <v>1.7710204700449327E-2</v>
      </c>
      <c r="Q23" s="1">
        <f t="shared" si="11"/>
        <v>95.699999999999989</v>
      </c>
      <c r="R23" s="1">
        <f t="shared" si="7"/>
        <v>24.67</v>
      </c>
      <c r="T23" s="4">
        <v>45421</v>
      </c>
      <c r="U23" s="8">
        <v>0.09</v>
      </c>
      <c r="V23" s="8">
        <f t="shared" si="8"/>
        <v>27</v>
      </c>
      <c r="W23" s="14">
        <f t="shared" si="12"/>
        <v>95.699999999999989</v>
      </c>
      <c r="X23" s="45"/>
    </row>
    <row r="24" spans="1:26" x14ac:dyDescent="0.25">
      <c r="A24" t="s">
        <v>68</v>
      </c>
      <c r="B24" t="s">
        <v>69</v>
      </c>
      <c r="C24" s="4">
        <v>45631</v>
      </c>
      <c r="D24" s="4">
        <v>45674</v>
      </c>
      <c r="E24">
        <f t="shared" si="0"/>
        <v>43</v>
      </c>
      <c r="F24">
        <f t="shared" ca="1" si="1"/>
        <v>0</v>
      </c>
      <c r="G24" t="s">
        <v>17</v>
      </c>
      <c r="H24" t="s">
        <v>0</v>
      </c>
      <c r="I24" s="1">
        <v>3.9</v>
      </c>
      <c r="J24">
        <v>5</v>
      </c>
      <c r="K24" s="1">
        <v>13</v>
      </c>
      <c r="L24" s="1">
        <v>1.1000000000000001</v>
      </c>
      <c r="M24" s="1">
        <f t="shared" si="2"/>
        <v>59.5</v>
      </c>
      <c r="N24" s="1">
        <f t="shared" si="3"/>
        <v>3.7809999999999997</v>
      </c>
      <c r="O24" s="1">
        <f t="shared" si="4"/>
        <v>1652.5</v>
      </c>
      <c r="P24" s="3">
        <f t="shared" si="5"/>
        <v>6.5862153889455738E-2</v>
      </c>
      <c r="Q24" s="1">
        <f t="shared" si="11"/>
        <v>59.5</v>
      </c>
      <c r="R24" s="1">
        <f t="shared" si="7"/>
        <v>3.77</v>
      </c>
      <c r="T24" s="4">
        <v>45327</v>
      </c>
      <c r="U24" s="8">
        <v>0.15</v>
      </c>
      <c r="V24" s="8">
        <f t="shared" si="8"/>
        <v>75</v>
      </c>
      <c r="W24" s="14">
        <f t="shared" si="12"/>
        <v>59.5</v>
      </c>
      <c r="X24" s="45"/>
    </row>
    <row r="25" spans="1:26" x14ac:dyDescent="0.25">
      <c r="A25" t="s">
        <v>45</v>
      </c>
      <c r="B25" t="s">
        <v>46</v>
      </c>
      <c r="C25" s="4">
        <v>45631</v>
      </c>
      <c r="D25" s="4">
        <v>45709</v>
      </c>
      <c r="E25">
        <f t="shared" si="0"/>
        <v>78</v>
      </c>
      <c r="F25">
        <f t="shared" ca="1" si="1"/>
        <v>0</v>
      </c>
      <c r="G25" t="s">
        <v>47</v>
      </c>
      <c r="H25" t="s">
        <v>0</v>
      </c>
      <c r="I25" s="1">
        <v>58</v>
      </c>
      <c r="J25">
        <v>1</v>
      </c>
      <c r="K25" s="1">
        <v>82</v>
      </c>
      <c r="L25" s="1">
        <v>1.1000000000000001</v>
      </c>
      <c r="M25" s="1">
        <f t="shared" si="2"/>
        <v>80.900000000000006</v>
      </c>
      <c r="N25" s="1">
        <f t="shared" si="3"/>
        <v>57.191000000000003</v>
      </c>
      <c r="O25" s="1">
        <f t="shared" si="4"/>
        <v>5719.1</v>
      </c>
      <c r="P25" s="3">
        <f t="shared" si="5"/>
        <v>6.6175016779132803E-2</v>
      </c>
      <c r="Q25" s="1">
        <f t="shared" si="11"/>
        <v>80.900000000000006</v>
      </c>
      <c r="R25" s="1">
        <f t="shared" si="7"/>
        <v>0</v>
      </c>
      <c r="T25" s="4">
        <v>45421</v>
      </c>
      <c r="U25" s="8">
        <v>5.26</v>
      </c>
      <c r="V25" s="8">
        <f t="shared" si="8"/>
        <v>0</v>
      </c>
      <c r="W25" s="14">
        <f t="shared" si="12"/>
        <v>80.900000000000006</v>
      </c>
      <c r="X25" s="45"/>
    </row>
    <row r="26" spans="1:26" x14ac:dyDescent="0.25">
      <c r="A26" t="s">
        <v>68</v>
      </c>
      <c r="B26" t="s">
        <v>69</v>
      </c>
      <c r="C26" s="4">
        <v>45631</v>
      </c>
      <c r="D26" s="4">
        <v>45709</v>
      </c>
      <c r="E26">
        <f t="shared" si="0"/>
        <v>78</v>
      </c>
      <c r="F26">
        <f t="shared" ca="1" si="1"/>
        <v>0</v>
      </c>
      <c r="G26" t="s">
        <v>17</v>
      </c>
      <c r="H26" t="s">
        <v>0</v>
      </c>
      <c r="I26" s="1">
        <v>4</v>
      </c>
      <c r="J26">
        <v>5</v>
      </c>
      <c r="K26" s="1">
        <v>33</v>
      </c>
      <c r="L26" s="1">
        <v>1.1000000000000001</v>
      </c>
      <c r="M26" s="1">
        <f t="shared" si="2"/>
        <v>159.5</v>
      </c>
      <c r="N26" s="1">
        <f t="shared" si="3"/>
        <v>3.681</v>
      </c>
      <c r="O26" s="1">
        <f t="shared" si="4"/>
        <v>1202.5</v>
      </c>
      <c r="P26" s="3">
        <f t="shared" si="5"/>
        <v>0.1266592035822805</v>
      </c>
      <c r="Q26" s="1">
        <f t="shared" si="11"/>
        <v>159.5</v>
      </c>
      <c r="R26" s="1">
        <f t="shared" si="7"/>
        <v>3.67</v>
      </c>
      <c r="T26" s="4">
        <v>45327</v>
      </c>
      <c r="U26" s="8">
        <v>0.15</v>
      </c>
      <c r="V26" s="8">
        <f t="shared" si="8"/>
        <v>75</v>
      </c>
      <c r="W26" s="14">
        <f t="shared" si="12"/>
        <v>159.5</v>
      </c>
      <c r="X26" s="45"/>
    </row>
    <row r="27" spans="1:26" x14ac:dyDescent="0.25">
      <c r="A27" t="s">
        <v>73</v>
      </c>
      <c r="B27" t="s">
        <v>74</v>
      </c>
      <c r="C27" s="4">
        <v>45653</v>
      </c>
      <c r="D27" s="4">
        <v>45709</v>
      </c>
      <c r="E27">
        <f t="shared" si="0"/>
        <v>56</v>
      </c>
      <c r="F27">
        <f t="shared" ca="1" si="1"/>
        <v>0</v>
      </c>
      <c r="G27" t="s">
        <v>17</v>
      </c>
      <c r="H27" t="s">
        <v>0</v>
      </c>
      <c r="I27" s="1">
        <v>37</v>
      </c>
      <c r="J27">
        <v>2</v>
      </c>
      <c r="K27" s="1">
        <v>60</v>
      </c>
      <c r="L27" s="1">
        <v>1.1000000000000001</v>
      </c>
      <c r="M27" s="1">
        <f t="shared" si="2"/>
        <v>117.8</v>
      </c>
      <c r="N27" s="1">
        <f t="shared" si="3"/>
        <v>36.411000000000001</v>
      </c>
      <c r="O27" s="1">
        <f t="shared" si="4"/>
        <v>7164.4</v>
      </c>
      <c r="P27" s="3">
        <f t="shared" si="5"/>
        <v>5.3837625720825996E-2</v>
      </c>
      <c r="Q27" s="1">
        <f t="shared" si="11"/>
        <v>117.8</v>
      </c>
      <c r="R27" s="1">
        <f t="shared" si="7"/>
        <v>36.4</v>
      </c>
      <c r="T27" s="4">
        <v>45427</v>
      </c>
      <c r="U27" s="8">
        <v>1.35</v>
      </c>
      <c r="V27" s="8">
        <f t="shared" si="8"/>
        <v>270</v>
      </c>
      <c r="W27" s="14">
        <f t="shared" si="12"/>
        <v>117.8</v>
      </c>
      <c r="X27" s="45"/>
    </row>
    <row r="28" spans="1:26" x14ac:dyDescent="0.25">
      <c r="A28" t="s">
        <v>20</v>
      </c>
      <c r="B28" t="s">
        <v>21</v>
      </c>
      <c r="C28" s="4">
        <v>45656</v>
      </c>
      <c r="D28" s="4">
        <v>45709</v>
      </c>
      <c r="E28">
        <f t="shared" si="0"/>
        <v>53</v>
      </c>
      <c r="F28">
        <f t="shared" ca="1" si="1"/>
        <v>0</v>
      </c>
      <c r="G28" t="s">
        <v>17</v>
      </c>
      <c r="H28" t="s">
        <v>0</v>
      </c>
      <c r="I28" s="1">
        <v>5.8</v>
      </c>
      <c r="J28">
        <v>3</v>
      </c>
      <c r="K28" s="1">
        <v>10</v>
      </c>
      <c r="L28" s="1">
        <v>1.1000000000000001</v>
      </c>
      <c r="M28" s="1">
        <f t="shared" si="2"/>
        <v>26.700000000000003</v>
      </c>
      <c r="N28" s="1">
        <f t="shared" si="3"/>
        <v>5.7109999999999994</v>
      </c>
      <c r="O28" s="1">
        <f t="shared" si="4"/>
        <v>1659.8999999999999</v>
      </c>
      <c r="P28" s="3">
        <f t="shared" si="5"/>
        <v>4.0920855655091758E-2</v>
      </c>
      <c r="Q28" s="1">
        <f t="shared" si="11"/>
        <v>26.700000000000003</v>
      </c>
      <c r="R28" s="1">
        <f t="shared" si="7"/>
        <v>5.7</v>
      </c>
      <c r="W28" s="14">
        <f t="shared" si="12"/>
        <v>26.700000000000003</v>
      </c>
      <c r="X28" s="45"/>
    </row>
    <row r="29" spans="1:26" x14ac:dyDescent="0.25">
      <c r="A29" t="s">
        <v>55</v>
      </c>
      <c r="B29" t="s">
        <v>56</v>
      </c>
      <c r="C29" s="32">
        <v>45656</v>
      </c>
      <c r="D29" s="4">
        <v>45709</v>
      </c>
      <c r="E29">
        <f t="shared" si="0"/>
        <v>53</v>
      </c>
      <c r="F29">
        <f t="shared" ca="1" si="1"/>
        <v>0</v>
      </c>
      <c r="G29" t="s">
        <v>17</v>
      </c>
      <c r="H29" t="s">
        <v>0</v>
      </c>
      <c r="I29" s="1">
        <v>15.4</v>
      </c>
      <c r="J29">
        <v>3</v>
      </c>
      <c r="K29" s="1">
        <v>27</v>
      </c>
      <c r="L29" s="1">
        <v>1.1000000000000001</v>
      </c>
      <c r="M29" s="1">
        <f t="shared" si="2"/>
        <v>77.699999999999989</v>
      </c>
      <c r="N29" s="1">
        <f t="shared" si="3"/>
        <v>15.141</v>
      </c>
      <c r="O29" s="1">
        <f t="shared" si="4"/>
        <v>4386.8999999999996</v>
      </c>
      <c r="P29" s="3">
        <f t="shared" si="5"/>
        <v>4.1805426705667871E-2</v>
      </c>
      <c r="Q29" s="1">
        <f t="shared" si="11"/>
        <v>77.699999999999989</v>
      </c>
      <c r="R29" s="1">
        <f t="shared" si="7"/>
        <v>15.13</v>
      </c>
      <c r="W29" s="14">
        <f t="shared" si="12"/>
        <v>77.699999999999989</v>
      </c>
      <c r="X29" s="45"/>
    </row>
    <row r="30" spans="1:26" x14ac:dyDescent="0.25">
      <c r="A30" t="s">
        <v>83</v>
      </c>
      <c r="B30" t="s">
        <v>16</v>
      </c>
      <c r="C30" s="4">
        <v>45572</v>
      </c>
      <c r="D30" s="4">
        <v>45737</v>
      </c>
      <c r="E30">
        <f t="shared" si="0"/>
        <v>165</v>
      </c>
      <c r="F30">
        <f t="shared" ca="1" si="1"/>
        <v>0</v>
      </c>
      <c r="G30" t="s">
        <v>17</v>
      </c>
      <c r="H30" t="s">
        <v>0</v>
      </c>
      <c r="I30" s="1">
        <v>12</v>
      </c>
      <c r="J30">
        <v>3</v>
      </c>
      <c r="K30" s="1">
        <v>31</v>
      </c>
      <c r="L30" s="1">
        <v>1.1000000000000001</v>
      </c>
      <c r="M30" s="1">
        <f t="shared" si="2"/>
        <v>89.699999999999989</v>
      </c>
      <c r="N30" s="1">
        <f t="shared" si="3"/>
        <v>11.701000000000001</v>
      </c>
      <c r="O30" s="1">
        <f t="shared" si="4"/>
        <v>3330.8999999999996</v>
      </c>
      <c r="P30" s="3">
        <f t="shared" si="5"/>
        <v>2.0305732275470185E-2</v>
      </c>
      <c r="Q30" s="1">
        <f t="shared" si="11"/>
        <v>89.699999999999989</v>
      </c>
      <c r="R30" s="1">
        <f t="shared" si="7"/>
        <v>11.69</v>
      </c>
      <c r="W30" s="34">
        <f t="shared" si="12"/>
        <v>89.699999999999989</v>
      </c>
      <c r="X30" s="45"/>
    </row>
    <row r="31" spans="1:26" x14ac:dyDescent="0.25">
      <c r="W31" s="34"/>
    </row>
    <row r="32" spans="1:26" x14ac:dyDescent="0.25">
      <c r="W32" s="34"/>
    </row>
    <row r="33" spans="23:23" x14ac:dyDescent="0.25">
      <c r="W33" s="34"/>
    </row>
  </sheetData>
  <autoFilter ref="A1:W33" xr:uid="{6C5D5697-FF21-48C8-BAE6-F041839AE6B9}"/>
  <sortState xmlns:xlrd2="http://schemas.microsoft.com/office/spreadsheetml/2017/richdata2" ref="A4:W28">
    <sortCondition ref="C4:C28"/>
  </sortState>
  <mergeCells count="4">
    <mergeCell ref="D2:D3"/>
    <mergeCell ref="E2:E3"/>
    <mergeCell ref="L2:L3"/>
    <mergeCell ref="R2:R3"/>
  </mergeCells>
  <conditionalFormatting sqref="A2:A3 S2:W3">
    <cfRule type="expression" dxfId="19" priority="15">
      <formula>AND(#REF!&lt;=30,#REF!&gt;0)</formula>
    </cfRule>
  </conditionalFormatting>
  <conditionalFormatting sqref="A4:N28 A29:V1048576 P4:V28 A1:W1">
    <cfRule type="expression" dxfId="18" priority="8">
      <formula>AND($F1&lt;=30,$F1&gt;0)</formula>
    </cfRule>
  </conditionalFormatting>
  <conditionalFormatting sqref="D4:D5002">
    <cfRule type="cellIs" dxfId="17" priority="6" operator="greaterThan">
      <formula>TODAY()</formula>
    </cfRule>
    <cfRule type="notContainsBlanks" dxfId="16" priority="7">
      <formula>LEN(TRIM(D4))&gt;0</formula>
    </cfRule>
  </conditionalFormatting>
  <conditionalFormatting sqref="O4:O28">
    <cfRule type="expression" dxfId="15" priority="1">
      <formula>AND($F4&lt;=30,$F4&gt;0)</formula>
    </cfRule>
  </conditionalFormatting>
  <conditionalFormatting sqref="P4:P5002">
    <cfRule type="expression" dxfId="14" priority="3">
      <formula>AND($P4&gt;=3%,$P4&lt;9%)</formula>
    </cfRule>
    <cfRule type="expression" dxfId="13" priority="4">
      <formula>AND($P4&lt;3%,$P4&gt;0)</formula>
    </cfRule>
    <cfRule type="expression" dxfId="12" priority="5">
      <formula>AND($P4&gt;=9%,$P4&gt;0)</formula>
    </cfRule>
  </conditionalFormatting>
  <pageMargins left="0.7" right="0.7" top="0.78740157499999996" bottom="0.78740157499999996" header="0.3" footer="0.3"/>
  <pageSetup paperSize="38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673C-393D-49CA-84C5-92E55E8E05D3}">
  <dimension ref="A1:Z43"/>
  <sheetViews>
    <sheetView tabSelected="1" workbookViewId="0">
      <selection activeCell="F32" sqref="F32"/>
    </sheetView>
  </sheetViews>
  <sheetFormatPr baseColWidth="10" defaultRowHeight="15" x14ac:dyDescent="0.25"/>
  <cols>
    <col min="1" max="1" width="8.7109375" bestFit="1" customWidth="1"/>
    <col min="2" max="2" width="18" customWidth="1"/>
    <col min="3" max="4" width="12" style="4" customWidth="1"/>
    <col min="5" max="5" width="10.7109375" customWidth="1"/>
    <col min="6" max="6" width="16.140625" bestFit="1" customWidth="1"/>
    <col min="7" max="7" width="8.28515625" customWidth="1"/>
    <col min="8" max="8" width="13.7109375" bestFit="1" customWidth="1"/>
    <col min="9" max="9" width="11.140625" style="1" bestFit="1" customWidth="1"/>
    <col min="10" max="10" width="11.5703125" bestFit="1" customWidth="1"/>
    <col min="11" max="11" width="12.28515625" style="1" bestFit="1" customWidth="1"/>
    <col min="12" max="12" width="14.28515625" style="1" bestFit="1" customWidth="1"/>
    <col min="13" max="13" width="14" style="1" bestFit="1" customWidth="1"/>
    <col min="14" max="14" width="11.140625" style="1" customWidth="1"/>
    <col min="15" max="15" width="12" style="1" bestFit="1" customWidth="1"/>
    <col min="16" max="16" width="10.42578125" style="3" customWidth="1"/>
    <col min="17" max="18" width="11.85546875" style="1" customWidth="1"/>
    <col min="19" max="19" width="5.28515625" style="1" customWidth="1"/>
    <col min="20" max="20" width="10.7109375" style="4" customWidth="1"/>
    <col min="21" max="22" width="10.7109375" style="8" customWidth="1"/>
    <col min="25" max="25" width="20.28515625" bestFit="1" customWidth="1"/>
  </cols>
  <sheetData>
    <row r="1" spans="1:26" ht="34.5" customHeight="1" x14ac:dyDescent="0.25">
      <c r="A1" s="15" t="s">
        <v>31</v>
      </c>
      <c r="B1" s="15" t="s">
        <v>5</v>
      </c>
      <c r="C1" s="16" t="s">
        <v>30</v>
      </c>
      <c r="D1" s="16" t="s">
        <v>6</v>
      </c>
      <c r="E1" s="15" t="s">
        <v>12</v>
      </c>
      <c r="F1" s="15" t="s">
        <v>29</v>
      </c>
      <c r="G1" s="15" t="s">
        <v>32</v>
      </c>
      <c r="H1" s="15" t="s">
        <v>2</v>
      </c>
      <c r="I1" s="17" t="s">
        <v>4</v>
      </c>
      <c r="J1" s="15" t="s">
        <v>33</v>
      </c>
      <c r="K1" s="17" t="s">
        <v>11</v>
      </c>
      <c r="L1" s="17" t="s">
        <v>8</v>
      </c>
      <c r="M1" s="17" t="s">
        <v>34</v>
      </c>
      <c r="N1" s="17" t="s">
        <v>48</v>
      </c>
      <c r="O1" s="17" t="s">
        <v>41</v>
      </c>
      <c r="P1" s="18" t="s">
        <v>42</v>
      </c>
      <c r="Q1" s="17" t="s">
        <v>35</v>
      </c>
      <c r="R1" s="17" t="s">
        <v>62</v>
      </c>
      <c r="S1" s="17"/>
      <c r="T1" s="16" t="s">
        <v>50</v>
      </c>
      <c r="U1" s="19" t="s">
        <v>7</v>
      </c>
      <c r="V1" s="19" t="s">
        <v>51</v>
      </c>
      <c r="W1" s="19" t="s">
        <v>11</v>
      </c>
    </row>
    <row r="2" spans="1:26" ht="20.25" customHeight="1" x14ac:dyDescent="0.25">
      <c r="A2" s="37"/>
      <c r="B2" s="36">
        <f>COUNT(E4:E10008)</f>
        <v>40</v>
      </c>
      <c r="C2" s="37"/>
      <c r="D2" s="47" t="s">
        <v>79</v>
      </c>
      <c r="E2" s="49">
        <f>SUM(E4:E10008)/B2</f>
        <v>77.325000000000003</v>
      </c>
      <c r="F2" s="37"/>
      <c r="G2" s="37"/>
      <c r="H2" s="37"/>
      <c r="I2" s="37"/>
      <c r="J2" s="37"/>
      <c r="K2" s="37"/>
      <c r="L2" s="51">
        <f>SUM(L4:L10008)</f>
        <v>38.470000000000027</v>
      </c>
      <c r="M2" s="37"/>
      <c r="N2" s="37"/>
      <c r="O2" s="37"/>
      <c r="P2" s="37"/>
      <c r="Q2" s="37"/>
      <c r="R2" s="51" t="s">
        <v>61</v>
      </c>
      <c r="S2" s="44"/>
      <c r="T2" s="38"/>
      <c r="U2" s="38"/>
      <c r="V2" s="38"/>
      <c r="W2" s="38">
        <f>SUM(W4:W10008)</f>
        <v>3491.1256000000008</v>
      </c>
      <c r="Z2" s="35"/>
    </row>
    <row r="3" spans="1:26" ht="20.25" customHeight="1" x14ac:dyDescent="0.25">
      <c r="A3" s="39"/>
      <c r="B3" s="40"/>
      <c r="C3" s="39"/>
      <c r="D3" s="48"/>
      <c r="E3" s="50"/>
      <c r="F3" s="39"/>
      <c r="G3" s="39"/>
      <c r="H3" s="39"/>
      <c r="I3" s="39"/>
      <c r="J3" s="39"/>
      <c r="K3" s="39"/>
      <c r="L3" s="52"/>
      <c r="M3" s="39"/>
      <c r="N3" s="39"/>
      <c r="O3" s="39"/>
      <c r="P3" s="39"/>
      <c r="Q3" s="39"/>
      <c r="R3" s="52"/>
      <c r="S3" s="43"/>
      <c r="T3" s="42"/>
      <c r="U3" s="42"/>
      <c r="V3" s="41" t="s">
        <v>78</v>
      </c>
      <c r="W3" s="42">
        <f>W2/B2</f>
        <v>87.278140000000022</v>
      </c>
      <c r="Y3" t="s">
        <v>36</v>
      </c>
      <c r="Z3" s="6">
        <v>0.92</v>
      </c>
    </row>
    <row r="4" spans="1:26" x14ac:dyDescent="0.25">
      <c r="A4" t="s">
        <v>20</v>
      </c>
      <c r="B4" t="s">
        <v>21</v>
      </c>
      <c r="C4" s="32">
        <v>45659</v>
      </c>
      <c r="D4" s="4">
        <v>45737</v>
      </c>
      <c r="E4">
        <f t="shared" ref="E4:E43" si="0">D4-C4</f>
        <v>78</v>
      </c>
      <c r="F4">
        <f t="shared" ref="F4:F43" ca="1" si="1">IF(D4&gt;TODAY(),D4-TODAY(),0)</f>
        <v>0</v>
      </c>
      <c r="G4" t="s">
        <v>47</v>
      </c>
      <c r="H4" t="s">
        <v>0</v>
      </c>
      <c r="I4" s="1">
        <v>6.5</v>
      </c>
      <c r="J4">
        <v>1</v>
      </c>
      <c r="K4" s="1">
        <v>24</v>
      </c>
      <c r="L4" s="1">
        <v>1.1000000000000001</v>
      </c>
      <c r="M4" s="1">
        <f t="shared" ref="M4:M43" si="2">(K4-L4)*J4</f>
        <v>22.9</v>
      </c>
      <c r="N4" s="1">
        <f t="shared" ref="N4:N43" si="3">I4-M4/(J4*100)</f>
        <v>6.2709999999999999</v>
      </c>
      <c r="O4" s="1">
        <f t="shared" ref="O4:O43" si="4">(I4*100-M4)*J4</f>
        <v>627.1</v>
      </c>
      <c r="P4" s="3">
        <f t="shared" ref="P4:P43" si="5">360/(D4-C4)*(K4/O4)</f>
        <v>0.17663726801025476</v>
      </c>
      <c r="Q4" s="1">
        <f t="shared" ref="Q4:Q43" si="6">IF(H4="EUR",M4,M4*$Z$3)</f>
        <v>22.9</v>
      </c>
      <c r="R4" s="1">
        <f t="shared" ref="R4:R43" si="7">IF(G4="P",(I4*100-K4)/100,0)</f>
        <v>0</v>
      </c>
      <c r="W4" s="34">
        <f t="shared" ref="W4:W43" si="8">IF(AND($C4&lt;DATE(2026,1,1),$C4&gt;=DATE(2025,1,1)),$Q4,0)</f>
        <v>22.9</v>
      </c>
      <c r="Y4" s="4" t="s">
        <v>37</v>
      </c>
      <c r="Z4" s="31">
        <f>SUM(Q:Q)</f>
        <v>3491.1256000000008</v>
      </c>
    </row>
    <row r="5" spans="1:26" x14ac:dyDescent="0.25">
      <c r="A5" t="s">
        <v>68</v>
      </c>
      <c r="B5" t="s">
        <v>69</v>
      </c>
      <c r="C5" s="4">
        <v>45677</v>
      </c>
      <c r="D5" s="4">
        <v>45716</v>
      </c>
      <c r="E5">
        <f t="shared" si="0"/>
        <v>39</v>
      </c>
      <c r="F5">
        <f t="shared" ca="1" si="1"/>
        <v>0</v>
      </c>
      <c r="G5" t="s">
        <v>17</v>
      </c>
      <c r="H5" t="s">
        <v>0</v>
      </c>
      <c r="I5" s="1">
        <v>3.8</v>
      </c>
      <c r="J5">
        <v>5</v>
      </c>
      <c r="K5" s="1">
        <v>12</v>
      </c>
      <c r="L5" s="1">
        <v>1.1000000000000001</v>
      </c>
      <c r="M5" s="1">
        <f t="shared" si="2"/>
        <v>54.5</v>
      </c>
      <c r="N5" s="1">
        <f t="shared" si="3"/>
        <v>3.6909999999999998</v>
      </c>
      <c r="O5" s="1">
        <f t="shared" si="4"/>
        <v>1627.5</v>
      </c>
      <c r="P5" s="3">
        <f t="shared" si="5"/>
        <v>6.8060971286777738E-2</v>
      </c>
      <c r="Q5" s="1">
        <f t="shared" si="6"/>
        <v>54.5</v>
      </c>
      <c r="R5" s="1">
        <f t="shared" si="7"/>
        <v>3.68</v>
      </c>
      <c r="W5" s="34">
        <f t="shared" si="8"/>
        <v>54.5</v>
      </c>
      <c r="Y5" t="s">
        <v>38</v>
      </c>
      <c r="Z5" s="7">
        <f>SUM(W:W)-W2</f>
        <v>3578.4037399999993</v>
      </c>
    </row>
    <row r="6" spans="1:26" x14ac:dyDescent="0.25">
      <c r="A6" t="s">
        <v>68</v>
      </c>
      <c r="B6" t="s">
        <v>69</v>
      </c>
      <c r="C6" s="4">
        <v>45677</v>
      </c>
      <c r="D6" s="4">
        <v>45716</v>
      </c>
      <c r="E6">
        <f t="shared" si="0"/>
        <v>39</v>
      </c>
      <c r="F6">
        <f t="shared" ca="1" si="1"/>
        <v>0</v>
      </c>
      <c r="G6" t="s">
        <v>17</v>
      </c>
      <c r="H6" t="s">
        <v>0</v>
      </c>
      <c r="I6" s="1">
        <v>3.85</v>
      </c>
      <c r="J6">
        <v>5</v>
      </c>
      <c r="K6" s="1">
        <v>13</v>
      </c>
      <c r="L6" s="1">
        <v>1.1000000000000001</v>
      </c>
      <c r="M6" s="1">
        <f t="shared" si="2"/>
        <v>59.5</v>
      </c>
      <c r="N6" s="1">
        <f t="shared" si="3"/>
        <v>3.7309999999999999</v>
      </c>
      <c r="O6" s="1">
        <f t="shared" si="4"/>
        <v>1627.5</v>
      </c>
      <c r="P6" s="3">
        <f t="shared" si="5"/>
        <v>7.3732718894009217E-2</v>
      </c>
      <c r="Q6" s="1">
        <f t="shared" si="6"/>
        <v>59.5</v>
      </c>
      <c r="R6" s="1">
        <f t="shared" si="7"/>
        <v>3.72</v>
      </c>
      <c r="W6" s="34">
        <f t="shared" si="8"/>
        <v>59.5</v>
      </c>
      <c r="Z6" s="1"/>
    </row>
    <row r="7" spans="1:26" x14ac:dyDescent="0.25">
      <c r="A7" t="s">
        <v>68</v>
      </c>
      <c r="B7" t="s">
        <v>69</v>
      </c>
      <c r="C7" s="4">
        <v>45677</v>
      </c>
      <c r="D7" s="4">
        <v>45716</v>
      </c>
      <c r="E7">
        <f t="shared" si="0"/>
        <v>39</v>
      </c>
      <c r="F7">
        <f t="shared" ca="1" si="1"/>
        <v>0</v>
      </c>
      <c r="G7" t="s">
        <v>17</v>
      </c>
      <c r="H7" t="s">
        <v>0</v>
      </c>
      <c r="I7" s="1">
        <v>3.9</v>
      </c>
      <c r="J7">
        <v>5</v>
      </c>
      <c r="K7" s="1">
        <v>15</v>
      </c>
      <c r="L7" s="1">
        <v>1.1000000000000001</v>
      </c>
      <c r="M7" s="1">
        <f t="shared" si="2"/>
        <v>69.5</v>
      </c>
      <c r="N7" s="1">
        <f t="shared" si="3"/>
        <v>3.7610000000000001</v>
      </c>
      <c r="O7" s="1">
        <f t="shared" si="4"/>
        <v>1602.5</v>
      </c>
      <c r="P7" s="3">
        <f t="shared" si="5"/>
        <v>8.640345613824553E-2</v>
      </c>
      <c r="Q7" s="1">
        <f t="shared" si="6"/>
        <v>69.5</v>
      </c>
      <c r="R7" s="1">
        <f t="shared" si="7"/>
        <v>3.75</v>
      </c>
      <c r="W7" s="34">
        <f t="shared" si="8"/>
        <v>69.5</v>
      </c>
      <c r="Z7" s="1"/>
    </row>
    <row r="8" spans="1:26" x14ac:dyDescent="0.25">
      <c r="A8" t="s">
        <v>68</v>
      </c>
      <c r="B8" t="s">
        <v>69</v>
      </c>
      <c r="C8" s="4">
        <v>45677</v>
      </c>
      <c r="D8" s="4">
        <v>45737</v>
      </c>
      <c r="E8">
        <f t="shared" si="0"/>
        <v>60</v>
      </c>
      <c r="F8">
        <f t="shared" ca="1" si="1"/>
        <v>0</v>
      </c>
      <c r="G8" t="s">
        <v>17</v>
      </c>
      <c r="H8" t="s">
        <v>0</v>
      </c>
      <c r="I8" s="1">
        <v>3.7</v>
      </c>
      <c r="J8">
        <v>5</v>
      </c>
      <c r="K8" s="1">
        <v>12</v>
      </c>
      <c r="L8" s="1">
        <v>1.1000000000000001</v>
      </c>
      <c r="M8" s="1">
        <f t="shared" si="2"/>
        <v>54.5</v>
      </c>
      <c r="N8" s="1">
        <f t="shared" si="3"/>
        <v>3.5910000000000002</v>
      </c>
      <c r="O8" s="1">
        <f t="shared" si="4"/>
        <v>1577.5</v>
      </c>
      <c r="P8" s="3">
        <f t="shared" si="5"/>
        <v>4.5641838351822506E-2</v>
      </c>
      <c r="Q8" s="1">
        <f t="shared" si="6"/>
        <v>54.5</v>
      </c>
      <c r="R8" s="1">
        <f t="shared" si="7"/>
        <v>3.58</v>
      </c>
      <c r="W8" s="34">
        <f t="shared" si="8"/>
        <v>54.5</v>
      </c>
      <c r="X8" s="2"/>
      <c r="Y8" t="s">
        <v>52</v>
      </c>
      <c r="Z8" s="1">
        <v>1000</v>
      </c>
    </row>
    <row r="9" spans="1:26" x14ac:dyDescent="0.25">
      <c r="A9" t="s">
        <v>13</v>
      </c>
      <c r="B9" t="s">
        <v>14</v>
      </c>
      <c r="C9" s="4">
        <v>45681</v>
      </c>
      <c r="D9" s="4">
        <v>45737</v>
      </c>
      <c r="E9">
        <f t="shared" si="0"/>
        <v>56</v>
      </c>
      <c r="F9">
        <f t="shared" ca="1" si="1"/>
        <v>0</v>
      </c>
      <c r="G9" t="s">
        <v>17</v>
      </c>
      <c r="H9" t="s">
        <v>0</v>
      </c>
      <c r="I9" s="1">
        <v>43</v>
      </c>
      <c r="J9">
        <v>1</v>
      </c>
      <c r="K9" s="1">
        <v>70</v>
      </c>
      <c r="L9" s="1">
        <v>1.1000000000000001</v>
      </c>
      <c r="M9" s="1">
        <f t="shared" si="2"/>
        <v>68.900000000000006</v>
      </c>
      <c r="N9" s="1">
        <f t="shared" si="3"/>
        <v>42.311</v>
      </c>
      <c r="O9" s="1">
        <f t="shared" si="4"/>
        <v>4231.1000000000004</v>
      </c>
      <c r="P9" s="3">
        <f t="shared" si="5"/>
        <v>0.10635532131124295</v>
      </c>
      <c r="Q9" s="1">
        <f t="shared" si="6"/>
        <v>68.900000000000006</v>
      </c>
      <c r="R9" s="1">
        <f t="shared" si="7"/>
        <v>42.3</v>
      </c>
      <c r="W9" s="34">
        <f t="shared" si="8"/>
        <v>68.900000000000006</v>
      </c>
      <c r="Y9" t="s">
        <v>54</v>
      </c>
      <c r="Z9" s="33">
        <v>0.25</v>
      </c>
    </row>
    <row r="10" spans="1:26" x14ac:dyDescent="0.25">
      <c r="A10" t="s">
        <v>68</v>
      </c>
      <c r="B10" t="s">
        <v>69</v>
      </c>
      <c r="C10" s="4">
        <v>45687</v>
      </c>
      <c r="D10" s="4">
        <v>45687</v>
      </c>
      <c r="E10">
        <f t="shared" si="0"/>
        <v>0</v>
      </c>
      <c r="F10">
        <f t="shared" ca="1" si="1"/>
        <v>0</v>
      </c>
      <c r="G10" t="s">
        <v>17</v>
      </c>
      <c r="H10" t="s">
        <v>0</v>
      </c>
      <c r="I10" s="1">
        <v>3.8</v>
      </c>
      <c r="J10">
        <v>5</v>
      </c>
      <c r="K10" s="1">
        <f>((500*3.8)-1437.6-963.8)/J10</f>
        <v>-100.27999999999997</v>
      </c>
      <c r="L10" s="1">
        <f>6/5</f>
        <v>1.2</v>
      </c>
      <c r="M10" s="1">
        <f t="shared" si="2"/>
        <v>-507.39999999999986</v>
      </c>
      <c r="N10" s="1">
        <f t="shared" si="3"/>
        <v>4.8148</v>
      </c>
      <c r="O10" s="1">
        <f t="shared" si="4"/>
        <v>4436.9999999999991</v>
      </c>
      <c r="P10" s="3" t="e">
        <f t="shared" si="5"/>
        <v>#DIV/0!</v>
      </c>
      <c r="Q10" s="1">
        <f t="shared" si="6"/>
        <v>-507.39999999999986</v>
      </c>
      <c r="R10" s="1">
        <f t="shared" si="7"/>
        <v>4.8027999999999995</v>
      </c>
      <c r="W10" s="34">
        <f t="shared" si="8"/>
        <v>-507.39999999999986</v>
      </c>
      <c r="Y10" t="s">
        <v>53</v>
      </c>
      <c r="Z10" s="1">
        <f>IF(Z5-Z8&gt;0,Z5-Z8,0)*Z9</f>
        <v>644.60093499999982</v>
      </c>
    </row>
    <row r="11" spans="1:26" x14ac:dyDescent="0.25">
      <c r="A11" t="s">
        <v>45</v>
      </c>
      <c r="B11" t="s">
        <v>81</v>
      </c>
      <c r="C11" s="4">
        <v>45701</v>
      </c>
      <c r="D11" s="4">
        <v>45701</v>
      </c>
      <c r="E11">
        <f t="shared" si="0"/>
        <v>0</v>
      </c>
      <c r="F11">
        <f t="shared" ca="1" si="1"/>
        <v>0</v>
      </c>
      <c r="G11" t="s">
        <v>47</v>
      </c>
      <c r="H11" t="s">
        <v>0</v>
      </c>
      <c r="I11" s="1">
        <v>58</v>
      </c>
      <c r="J11">
        <v>1</v>
      </c>
      <c r="K11" s="1">
        <f>-292+80.9</f>
        <v>-211.1</v>
      </c>
      <c r="L11" s="1">
        <v>1.1000000000000001</v>
      </c>
      <c r="M11" s="1">
        <f t="shared" si="2"/>
        <v>-212.2</v>
      </c>
      <c r="N11" s="1">
        <f t="shared" si="3"/>
        <v>60.122</v>
      </c>
      <c r="O11" s="1">
        <f t="shared" si="4"/>
        <v>6012.2</v>
      </c>
      <c r="P11" s="3" t="e">
        <f t="shared" si="5"/>
        <v>#DIV/0!</v>
      </c>
      <c r="Q11" s="1">
        <f t="shared" si="6"/>
        <v>-212.2</v>
      </c>
      <c r="R11" s="1">
        <f t="shared" si="7"/>
        <v>0</v>
      </c>
      <c r="W11" s="34">
        <f t="shared" si="8"/>
        <v>-212.2</v>
      </c>
      <c r="Z11" s="1"/>
    </row>
    <row r="12" spans="1:26" x14ac:dyDescent="0.25">
      <c r="A12" t="s">
        <v>45</v>
      </c>
      <c r="B12" t="s">
        <v>81</v>
      </c>
      <c r="C12" s="4">
        <v>45701</v>
      </c>
      <c r="D12" s="4">
        <v>45828</v>
      </c>
      <c r="E12">
        <f t="shared" si="0"/>
        <v>127</v>
      </c>
      <c r="F12">
        <f t="shared" ca="1" si="1"/>
        <v>0</v>
      </c>
      <c r="G12" t="s">
        <v>47</v>
      </c>
      <c r="H12" t="s">
        <v>0</v>
      </c>
      <c r="I12" s="1">
        <v>60</v>
      </c>
      <c r="J12">
        <v>1</v>
      </c>
      <c r="K12" s="1">
        <v>348</v>
      </c>
      <c r="L12" s="1">
        <v>1.1000000000000001</v>
      </c>
      <c r="M12" s="1">
        <f t="shared" si="2"/>
        <v>346.9</v>
      </c>
      <c r="N12" s="1">
        <f t="shared" si="3"/>
        <v>56.530999999999999</v>
      </c>
      <c r="O12" s="1">
        <f t="shared" si="4"/>
        <v>5653.1</v>
      </c>
      <c r="P12" s="3">
        <f t="shared" si="5"/>
        <v>0.17449836247605485</v>
      </c>
      <c r="Q12" s="1">
        <f t="shared" si="6"/>
        <v>346.9</v>
      </c>
      <c r="R12" s="1">
        <f t="shared" si="7"/>
        <v>0</v>
      </c>
      <c r="W12" s="34">
        <f t="shared" si="8"/>
        <v>346.9</v>
      </c>
      <c r="Y12" t="s">
        <v>76</v>
      </c>
      <c r="Z12" s="14">
        <f>Z5-Z10</f>
        <v>2933.8028049999994</v>
      </c>
    </row>
    <row r="13" spans="1:26" x14ac:dyDescent="0.25">
      <c r="A13" t="s">
        <v>57</v>
      </c>
      <c r="B13" t="s">
        <v>58</v>
      </c>
      <c r="C13" s="4">
        <v>45701</v>
      </c>
      <c r="D13" s="4">
        <v>45701</v>
      </c>
      <c r="E13">
        <f t="shared" si="0"/>
        <v>0</v>
      </c>
      <c r="F13">
        <f t="shared" ca="1" si="1"/>
        <v>0</v>
      </c>
      <c r="G13" t="s">
        <v>17</v>
      </c>
      <c r="H13" t="s">
        <v>0</v>
      </c>
      <c r="I13" s="1">
        <v>46</v>
      </c>
      <c r="J13">
        <v>2</v>
      </c>
      <c r="K13" s="1">
        <v>40</v>
      </c>
      <c r="L13" s="1">
        <v>1.1000000000000001</v>
      </c>
      <c r="M13" s="1">
        <f t="shared" si="2"/>
        <v>77.8</v>
      </c>
      <c r="N13" s="1">
        <f t="shared" si="3"/>
        <v>45.610999999999997</v>
      </c>
      <c r="O13" s="1">
        <f t="shared" si="4"/>
        <v>9044.4</v>
      </c>
      <c r="P13" s="3" t="e">
        <f t="shared" si="5"/>
        <v>#DIV/0!</v>
      </c>
      <c r="Q13" s="1">
        <f t="shared" si="6"/>
        <v>77.8</v>
      </c>
      <c r="R13" s="1">
        <f t="shared" si="7"/>
        <v>45.6</v>
      </c>
      <c r="W13" s="34">
        <f t="shared" si="8"/>
        <v>77.8</v>
      </c>
      <c r="Z13" s="14"/>
    </row>
    <row r="14" spans="1:26" x14ac:dyDescent="0.25">
      <c r="A14" t="s">
        <v>57</v>
      </c>
      <c r="B14" t="s">
        <v>58</v>
      </c>
      <c r="C14" s="4">
        <v>45701</v>
      </c>
      <c r="D14" s="4">
        <v>45737</v>
      </c>
      <c r="E14">
        <f t="shared" si="0"/>
        <v>36</v>
      </c>
      <c r="F14">
        <f t="shared" ca="1" si="1"/>
        <v>0</v>
      </c>
      <c r="G14" t="s">
        <v>80</v>
      </c>
      <c r="H14" t="s">
        <v>0</v>
      </c>
      <c r="I14" s="1">
        <v>58</v>
      </c>
      <c r="J14">
        <v>2</v>
      </c>
      <c r="K14" s="1">
        <v>-10</v>
      </c>
      <c r="L14" s="1">
        <v>1.1000000000000001</v>
      </c>
      <c r="M14" s="1">
        <f t="shared" si="2"/>
        <v>-22.2</v>
      </c>
      <c r="N14" s="1">
        <f t="shared" si="3"/>
        <v>58.110999999999997</v>
      </c>
      <c r="O14" s="1">
        <f t="shared" si="4"/>
        <v>11644.4</v>
      </c>
      <c r="P14" s="3">
        <f t="shared" si="5"/>
        <v>-8.5878190374772418E-3</v>
      </c>
      <c r="Q14" s="1">
        <f t="shared" si="6"/>
        <v>-22.2</v>
      </c>
      <c r="R14" s="1">
        <f t="shared" si="7"/>
        <v>0</v>
      </c>
      <c r="W14" s="34">
        <f t="shared" si="8"/>
        <v>-22.2</v>
      </c>
      <c r="Y14" t="s">
        <v>77</v>
      </c>
      <c r="Z14" s="1">
        <f>Z12/12</f>
        <v>244.48356708333327</v>
      </c>
    </row>
    <row r="15" spans="1:26" x14ac:dyDescent="0.25">
      <c r="A15" t="s">
        <v>20</v>
      </c>
      <c r="B15" t="s">
        <v>21</v>
      </c>
      <c r="C15" s="4">
        <v>45702</v>
      </c>
      <c r="D15" s="4">
        <v>45764</v>
      </c>
      <c r="E15">
        <f t="shared" si="0"/>
        <v>62</v>
      </c>
      <c r="F15">
        <f t="shared" ca="1" si="1"/>
        <v>0</v>
      </c>
      <c r="G15" t="s">
        <v>17</v>
      </c>
      <c r="H15" t="s">
        <v>0</v>
      </c>
      <c r="I15" s="1">
        <v>6.2</v>
      </c>
      <c r="J15">
        <v>5</v>
      </c>
      <c r="K15" s="1">
        <v>13</v>
      </c>
      <c r="L15" s="1">
        <v>1.1000000000000001</v>
      </c>
      <c r="M15" s="1">
        <f t="shared" si="2"/>
        <v>59.5</v>
      </c>
      <c r="N15" s="1">
        <f t="shared" si="3"/>
        <v>6.0810000000000004</v>
      </c>
      <c r="O15" s="1">
        <f t="shared" si="4"/>
        <v>2802.5</v>
      </c>
      <c r="P15" s="3">
        <f t="shared" si="5"/>
        <v>2.6934476705706312E-2</v>
      </c>
      <c r="Q15" s="1">
        <f t="shared" si="6"/>
        <v>59.5</v>
      </c>
      <c r="R15" s="1">
        <f t="shared" si="7"/>
        <v>6.07</v>
      </c>
      <c r="W15" s="14">
        <f t="shared" si="8"/>
        <v>59.5</v>
      </c>
    </row>
    <row r="16" spans="1:26" x14ac:dyDescent="0.25">
      <c r="A16" t="s">
        <v>73</v>
      </c>
      <c r="B16" t="s">
        <v>74</v>
      </c>
      <c r="C16" s="4">
        <v>45702</v>
      </c>
      <c r="D16" s="4">
        <v>45764</v>
      </c>
      <c r="E16">
        <f t="shared" si="0"/>
        <v>62</v>
      </c>
      <c r="F16">
        <f t="shared" ca="1" si="1"/>
        <v>0</v>
      </c>
      <c r="G16" t="s">
        <v>17</v>
      </c>
      <c r="H16" t="s">
        <v>0</v>
      </c>
      <c r="I16" s="1">
        <v>41</v>
      </c>
      <c r="J16">
        <v>2</v>
      </c>
      <c r="K16" s="1">
        <v>110</v>
      </c>
      <c r="L16" s="1">
        <v>1.1000000000000001</v>
      </c>
      <c r="M16" s="1">
        <f t="shared" si="2"/>
        <v>217.8</v>
      </c>
      <c r="N16" s="1">
        <f t="shared" si="3"/>
        <v>39.911000000000001</v>
      </c>
      <c r="O16" s="1">
        <f t="shared" si="4"/>
        <v>7764.4</v>
      </c>
      <c r="P16" s="3">
        <f t="shared" si="5"/>
        <v>8.2261305112997132E-2</v>
      </c>
      <c r="Q16" s="1">
        <f t="shared" si="6"/>
        <v>217.8</v>
      </c>
      <c r="R16" s="1">
        <f t="shared" si="7"/>
        <v>39.9</v>
      </c>
      <c r="W16" s="14">
        <f t="shared" si="8"/>
        <v>217.8</v>
      </c>
    </row>
    <row r="17" spans="1:25" x14ac:dyDescent="0.25">
      <c r="A17" t="s">
        <v>71</v>
      </c>
      <c r="B17" t="s">
        <v>82</v>
      </c>
      <c r="C17" s="4">
        <v>45702</v>
      </c>
      <c r="D17" s="4">
        <v>45764</v>
      </c>
      <c r="E17">
        <f t="shared" si="0"/>
        <v>62</v>
      </c>
      <c r="F17">
        <f t="shared" ca="1" si="1"/>
        <v>0</v>
      </c>
      <c r="G17" t="s">
        <v>17</v>
      </c>
      <c r="H17" t="s">
        <v>0</v>
      </c>
      <c r="I17" s="14">
        <v>25</v>
      </c>
      <c r="J17">
        <v>2</v>
      </c>
      <c r="K17" s="14">
        <v>26</v>
      </c>
      <c r="L17" s="14">
        <v>1.1000000000000001</v>
      </c>
      <c r="M17" s="14">
        <f t="shared" si="2"/>
        <v>49.8</v>
      </c>
      <c r="N17" s="14">
        <f t="shared" si="3"/>
        <v>24.751000000000001</v>
      </c>
      <c r="O17" s="14">
        <f t="shared" si="4"/>
        <v>4900.3999999999996</v>
      </c>
      <c r="P17" s="30">
        <f t="shared" si="5"/>
        <v>3.0807228376353742E-2</v>
      </c>
      <c r="Q17" s="1">
        <f t="shared" si="6"/>
        <v>49.8</v>
      </c>
      <c r="R17" s="14">
        <f t="shared" si="7"/>
        <v>24.74</v>
      </c>
      <c r="S17" s="14"/>
      <c r="W17" s="14">
        <f t="shared" si="8"/>
        <v>49.8</v>
      </c>
    </row>
    <row r="18" spans="1:25" x14ac:dyDescent="0.25">
      <c r="A18" t="s">
        <v>55</v>
      </c>
      <c r="B18" t="s">
        <v>56</v>
      </c>
      <c r="C18" s="4">
        <v>45712</v>
      </c>
      <c r="D18" s="4">
        <v>45764</v>
      </c>
      <c r="E18">
        <f t="shared" si="0"/>
        <v>52</v>
      </c>
      <c r="F18">
        <f t="shared" ca="1" si="1"/>
        <v>0</v>
      </c>
      <c r="G18" t="s">
        <v>17</v>
      </c>
      <c r="H18" t="s">
        <v>0</v>
      </c>
      <c r="I18" s="1">
        <v>18</v>
      </c>
      <c r="J18">
        <v>3</v>
      </c>
      <c r="K18" s="1">
        <v>22</v>
      </c>
      <c r="L18" s="1">
        <v>1.1000000000000001</v>
      </c>
      <c r="M18" s="1">
        <f t="shared" si="2"/>
        <v>62.699999999999996</v>
      </c>
      <c r="N18" s="1">
        <f t="shared" si="3"/>
        <v>17.791</v>
      </c>
      <c r="O18" s="1">
        <f t="shared" si="4"/>
        <v>5211.8999999999996</v>
      </c>
      <c r="P18" s="3">
        <f t="shared" si="5"/>
        <v>2.9223064968186711E-2</v>
      </c>
      <c r="Q18" s="1">
        <f t="shared" si="6"/>
        <v>62.699999999999996</v>
      </c>
      <c r="R18" s="1">
        <f t="shared" si="7"/>
        <v>17.78</v>
      </c>
      <c r="W18" s="14">
        <f t="shared" si="8"/>
        <v>62.699999999999996</v>
      </c>
    </row>
    <row r="19" spans="1:25" x14ac:dyDescent="0.25">
      <c r="A19" t="s">
        <v>55</v>
      </c>
      <c r="B19" t="s">
        <v>56</v>
      </c>
      <c r="C19" s="4">
        <v>45751</v>
      </c>
      <c r="D19" s="4">
        <v>45751</v>
      </c>
      <c r="E19">
        <f t="shared" si="0"/>
        <v>0</v>
      </c>
      <c r="F19">
        <f t="shared" ca="1" si="1"/>
        <v>0</v>
      </c>
      <c r="G19" t="s">
        <v>17</v>
      </c>
      <c r="H19" t="s">
        <v>0</v>
      </c>
      <c r="I19" s="1">
        <v>18</v>
      </c>
      <c r="J19">
        <v>3</v>
      </c>
      <c r="K19" s="1">
        <v>-32.200000000000003</v>
      </c>
      <c r="L19" s="1">
        <v>0</v>
      </c>
      <c r="M19" s="1">
        <f t="shared" si="2"/>
        <v>-96.600000000000009</v>
      </c>
      <c r="N19" s="1">
        <f t="shared" si="3"/>
        <v>18.321999999999999</v>
      </c>
      <c r="O19" s="1">
        <f t="shared" si="4"/>
        <v>5689.7999999999993</v>
      </c>
      <c r="P19" s="3" t="e">
        <f t="shared" si="5"/>
        <v>#DIV/0!</v>
      </c>
      <c r="Q19" s="1">
        <f t="shared" si="6"/>
        <v>-96.600000000000009</v>
      </c>
      <c r="R19" s="1">
        <f t="shared" si="7"/>
        <v>18.321999999999999</v>
      </c>
      <c r="W19" s="14">
        <f t="shared" si="8"/>
        <v>-96.600000000000009</v>
      </c>
    </row>
    <row r="20" spans="1:25" x14ac:dyDescent="0.25">
      <c r="A20" t="s">
        <v>55</v>
      </c>
      <c r="B20" t="s">
        <v>56</v>
      </c>
      <c r="C20" s="4">
        <v>45751</v>
      </c>
      <c r="D20" s="4">
        <v>45793</v>
      </c>
      <c r="E20">
        <f t="shared" si="0"/>
        <v>42</v>
      </c>
      <c r="F20">
        <f t="shared" ca="1" si="1"/>
        <v>0</v>
      </c>
      <c r="G20" t="s">
        <v>17</v>
      </c>
      <c r="H20" t="s">
        <v>0</v>
      </c>
      <c r="I20" s="1">
        <v>17.2</v>
      </c>
      <c r="J20">
        <v>3</v>
      </c>
      <c r="K20" s="1">
        <v>63</v>
      </c>
      <c r="L20" s="1">
        <v>1.1000000000000001</v>
      </c>
      <c r="M20" s="1">
        <f t="shared" si="2"/>
        <v>185.7</v>
      </c>
      <c r="N20" s="1">
        <f t="shared" si="3"/>
        <v>16.581</v>
      </c>
      <c r="O20" s="1">
        <f t="shared" si="4"/>
        <v>4602.8999999999996</v>
      </c>
      <c r="P20" s="3">
        <f t="shared" si="5"/>
        <v>0.1173173434139347</v>
      </c>
      <c r="Q20" s="1">
        <f t="shared" si="6"/>
        <v>185.7</v>
      </c>
      <c r="R20" s="1">
        <f t="shared" si="7"/>
        <v>16.57</v>
      </c>
      <c r="W20" s="14">
        <f t="shared" si="8"/>
        <v>185.7</v>
      </c>
    </row>
    <row r="21" spans="1:25" x14ac:dyDescent="0.25">
      <c r="A21" t="s">
        <v>20</v>
      </c>
      <c r="B21" t="s">
        <v>21</v>
      </c>
      <c r="C21" s="4">
        <v>45712</v>
      </c>
      <c r="D21" s="4">
        <v>45764</v>
      </c>
      <c r="E21">
        <f t="shared" si="0"/>
        <v>52</v>
      </c>
      <c r="F21">
        <f t="shared" ca="1" si="1"/>
        <v>0</v>
      </c>
      <c r="G21" t="s">
        <v>17</v>
      </c>
      <c r="H21" t="s">
        <v>0</v>
      </c>
      <c r="I21" s="1">
        <v>6.1</v>
      </c>
      <c r="J21">
        <v>5</v>
      </c>
      <c r="K21" s="1">
        <v>14</v>
      </c>
      <c r="L21" s="1">
        <v>1.1000000000000001</v>
      </c>
      <c r="M21" s="1">
        <f t="shared" si="2"/>
        <v>64.5</v>
      </c>
      <c r="N21" s="1">
        <f t="shared" si="3"/>
        <v>5.9710000000000001</v>
      </c>
      <c r="O21" s="1">
        <f t="shared" si="4"/>
        <v>2727.5</v>
      </c>
      <c r="P21" s="3">
        <f t="shared" si="5"/>
        <v>3.5535500246774307E-2</v>
      </c>
      <c r="Q21" s="1">
        <f t="shared" si="6"/>
        <v>64.5</v>
      </c>
      <c r="R21" s="1">
        <f t="shared" si="7"/>
        <v>5.96</v>
      </c>
      <c r="W21" s="14">
        <f t="shared" si="8"/>
        <v>64.5</v>
      </c>
      <c r="X21" s="2"/>
    </row>
    <row r="22" spans="1:25" x14ac:dyDescent="0.25">
      <c r="A22" t="s">
        <v>45</v>
      </c>
      <c r="B22" t="s">
        <v>81</v>
      </c>
      <c r="C22" s="4">
        <v>45713</v>
      </c>
      <c r="D22" s="4">
        <v>45764</v>
      </c>
      <c r="E22">
        <f t="shared" si="0"/>
        <v>51</v>
      </c>
      <c r="F22">
        <f t="shared" ca="1" si="1"/>
        <v>0</v>
      </c>
      <c r="G22" t="s">
        <v>17</v>
      </c>
      <c r="H22" t="s">
        <v>0</v>
      </c>
      <c r="I22" s="1">
        <v>55</v>
      </c>
      <c r="J22">
        <v>1</v>
      </c>
      <c r="K22" s="1">
        <v>71</v>
      </c>
      <c r="L22" s="1">
        <v>1.1000000000000001</v>
      </c>
      <c r="M22" s="1">
        <f t="shared" si="2"/>
        <v>69.900000000000006</v>
      </c>
      <c r="N22" s="1">
        <f t="shared" si="3"/>
        <v>54.301000000000002</v>
      </c>
      <c r="O22" s="1">
        <f t="shared" si="4"/>
        <v>5430.1</v>
      </c>
      <c r="P22" s="3">
        <f t="shared" si="5"/>
        <v>9.2295992815645239E-2</v>
      </c>
      <c r="Q22" s="1">
        <f t="shared" si="6"/>
        <v>69.900000000000006</v>
      </c>
      <c r="R22" s="1">
        <f t="shared" si="7"/>
        <v>54.29</v>
      </c>
      <c r="W22" s="14">
        <f t="shared" si="8"/>
        <v>69.900000000000006</v>
      </c>
    </row>
    <row r="23" spans="1:25" x14ac:dyDescent="0.25">
      <c r="A23" t="s">
        <v>22</v>
      </c>
      <c r="B23" t="s">
        <v>23</v>
      </c>
      <c r="C23" s="4">
        <v>45713</v>
      </c>
      <c r="D23" s="4">
        <v>45793</v>
      </c>
      <c r="E23">
        <f t="shared" si="0"/>
        <v>80</v>
      </c>
      <c r="F23">
        <f t="shared" ca="1" si="1"/>
        <v>0</v>
      </c>
      <c r="G23" t="s">
        <v>17</v>
      </c>
      <c r="H23" t="s">
        <v>0</v>
      </c>
      <c r="I23" s="1">
        <v>6.1</v>
      </c>
      <c r="J23">
        <v>5</v>
      </c>
      <c r="K23" s="1">
        <v>24</v>
      </c>
      <c r="L23" s="1">
        <v>1.1000000000000001</v>
      </c>
      <c r="M23" s="1">
        <f t="shared" si="2"/>
        <v>114.5</v>
      </c>
      <c r="N23" s="1">
        <f t="shared" si="3"/>
        <v>5.8709999999999996</v>
      </c>
      <c r="O23" s="1">
        <f t="shared" si="4"/>
        <v>2477.5</v>
      </c>
      <c r="P23" s="3">
        <f t="shared" si="5"/>
        <v>4.3592330978809282E-2</v>
      </c>
      <c r="Q23" s="1">
        <f t="shared" si="6"/>
        <v>114.5</v>
      </c>
      <c r="R23" s="1">
        <f t="shared" si="7"/>
        <v>5.86</v>
      </c>
      <c r="W23" s="14">
        <f t="shared" si="8"/>
        <v>114.5</v>
      </c>
    </row>
    <row r="24" spans="1:25" x14ac:dyDescent="0.25">
      <c r="A24" t="s">
        <v>45</v>
      </c>
      <c r="B24" t="s">
        <v>81</v>
      </c>
      <c r="C24" s="4">
        <v>45751</v>
      </c>
      <c r="D24" s="4">
        <v>45751</v>
      </c>
      <c r="E24">
        <f t="shared" si="0"/>
        <v>0</v>
      </c>
      <c r="F24">
        <f t="shared" ca="1" si="1"/>
        <v>0</v>
      </c>
      <c r="G24" t="s">
        <v>17</v>
      </c>
      <c r="H24" t="s">
        <v>0</v>
      </c>
      <c r="I24" s="1">
        <v>55</v>
      </c>
      <c r="J24">
        <v>1</v>
      </c>
      <c r="K24" s="1">
        <v>-404.2</v>
      </c>
      <c r="L24" s="1">
        <v>0</v>
      </c>
      <c r="M24" s="1">
        <f t="shared" si="2"/>
        <v>-404.2</v>
      </c>
      <c r="N24" s="1">
        <f t="shared" si="3"/>
        <v>59.042000000000002</v>
      </c>
      <c r="O24" s="1">
        <f t="shared" si="4"/>
        <v>5904.2</v>
      </c>
      <c r="P24" s="3" t="e">
        <f t="shared" si="5"/>
        <v>#DIV/0!</v>
      </c>
      <c r="Q24" s="1">
        <f t="shared" si="6"/>
        <v>-404.2</v>
      </c>
      <c r="R24" s="1">
        <f t="shared" si="7"/>
        <v>59.042000000000002</v>
      </c>
      <c r="W24" s="14">
        <f t="shared" si="8"/>
        <v>-404.2</v>
      </c>
    </row>
    <row r="25" spans="1:25" x14ac:dyDescent="0.25">
      <c r="A25" t="s">
        <v>45</v>
      </c>
      <c r="B25" t="s">
        <v>81</v>
      </c>
      <c r="C25" s="4">
        <v>45751</v>
      </c>
      <c r="D25" s="4">
        <v>46010</v>
      </c>
      <c r="E25">
        <f t="shared" si="0"/>
        <v>259</v>
      </c>
      <c r="F25">
        <f t="shared" ca="1" si="1"/>
        <v>170</v>
      </c>
      <c r="G25" t="s">
        <v>17</v>
      </c>
      <c r="H25" t="s">
        <v>0</v>
      </c>
      <c r="I25" s="1">
        <v>48</v>
      </c>
      <c r="J25">
        <v>1</v>
      </c>
      <c r="K25" s="1">
        <v>536</v>
      </c>
      <c r="L25" s="1">
        <v>1.1000000000000001</v>
      </c>
      <c r="M25" s="1">
        <f t="shared" si="2"/>
        <v>534.9</v>
      </c>
      <c r="N25" s="1">
        <f t="shared" si="3"/>
        <v>42.650999999999996</v>
      </c>
      <c r="O25" s="1">
        <f t="shared" si="4"/>
        <v>4265.1000000000004</v>
      </c>
      <c r="P25" s="3">
        <f t="shared" si="5"/>
        <v>0.17467803920642072</v>
      </c>
      <c r="Q25" s="1">
        <f t="shared" si="6"/>
        <v>534.9</v>
      </c>
      <c r="R25" s="1">
        <f t="shared" si="7"/>
        <v>42.64</v>
      </c>
      <c r="W25" s="14">
        <f t="shared" si="8"/>
        <v>534.9</v>
      </c>
    </row>
    <row r="26" spans="1:25" x14ac:dyDescent="0.25">
      <c r="A26" t="s">
        <v>73</v>
      </c>
      <c r="B26" t="s">
        <v>74</v>
      </c>
      <c r="C26" s="4">
        <v>45764</v>
      </c>
      <c r="D26" s="4">
        <v>45764</v>
      </c>
      <c r="E26">
        <f t="shared" si="0"/>
        <v>0</v>
      </c>
      <c r="F26">
        <f t="shared" ca="1" si="1"/>
        <v>0</v>
      </c>
      <c r="G26" t="s">
        <v>17</v>
      </c>
      <c r="H26" t="s">
        <v>0</v>
      </c>
      <c r="I26" s="1">
        <v>41</v>
      </c>
      <c r="J26">
        <v>1</v>
      </c>
      <c r="K26" s="1">
        <v>-626.20000000000005</v>
      </c>
      <c r="L26" s="1">
        <v>0</v>
      </c>
      <c r="M26" s="1">
        <f t="shared" si="2"/>
        <v>-626.20000000000005</v>
      </c>
      <c r="N26" s="1">
        <f t="shared" si="3"/>
        <v>47.262</v>
      </c>
      <c r="O26" s="1">
        <f t="shared" si="4"/>
        <v>4726.2</v>
      </c>
      <c r="P26" s="3" t="e">
        <f t="shared" si="5"/>
        <v>#DIV/0!</v>
      </c>
      <c r="Q26" s="1">
        <f t="shared" si="6"/>
        <v>-626.20000000000005</v>
      </c>
      <c r="R26" s="1">
        <f t="shared" si="7"/>
        <v>47.262</v>
      </c>
      <c r="W26" s="14">
        <f t="shared" si="8"/>
        <v>-626.20000000000005</v>
      </c>
    </row>
    <row r="27" spans="1:25" x14ac:dyDescent="0.25">
      <c r="A27" t="s">
        <v>73</v>
      </c>
      <c r="B27" t="s">
        <v>74</v>
      </c>
      <c r="C27" s="4">
        <v>45764</v>
      </c>
      <c r="D27" s="4">
        <v>46010</v>
      </c>
      <c r="E27">
        <f t="shared" si="0"/>
        <v>246</v>
      </c>
      <c r="F27">
        <f t="shared" ca="1" si="1"/>
        <v>170</v>
      </c>
      <c r="G27" t="s">
        <v>17</v>
      </c>
      <c r="H27" t="s">
        <v>0</v>
      </c>
      <c r="I27" s="1">
        <v>40</v>
      </c>
      <c r="J27">
        <v>1</v>
      </c>
      <c r="K27" s="1">
        <v>869</v>
      </c>
      <c r="L27" s="1">
        <v>1.1000000000000001</v>
      </c>
      <c r="M27" s="1">
        <f t="shared" si="2"/>
        <v>867.9</v>
      </c>
      <c r="N27" s="1">
        <f t="shared" si="3"/>
        <v>31.320999999999998</v>
      </c>
      <c r="O27" s="1">
        <f t="shared" si="4"/>
        <v>3132.1</v>
      </c>
      <c r="P27" s="3">
        <f t="shared" si="5"/>
        <v>0.40602385526425427</v>
      </c>
      <c r="Q27" s="1">
        <f t="shared" si="6"/>
        <v>867.9</v>
      </c>
      <c r="R27" s="1">
        <f t="shared" si="7"/>
        <v>31.31</v>
      </c>
      <c r="W27" s="14">
        <f t="shared" si="8"/>
        <v>867.9</v>
      </c>
    </row>
    <row r="28" spans="1:25" x14ac:dyDescent="0.25">
      <c r="A28" t="s">
        <v>20</v>
      </c>
      <c r="B28" t="s">
        <v>21</v>
      </c>
      <c r="C28" s="4">
        <v>45764</v>
      </c>
      <c r="D28" s="4">
        <v>45828</v>
      </c>
      <c r="E28">
        <f t="shared" si="0"/>
        <v>64</v>
      </c>
      <c r="F28">
        <f t="shared" ca="1" si="1"/>
        <v>0</v>
      </c>
      <c r="G28" t="s">
        <v>17</v>
      </c>
      <c r="H28" t="s">
        <v>0</v>
      </c>
      <c r="I28" s="1">
        <v>5.7</v>
      </c>
      <c r="J28">
        <v>5</v>
      </c>
      <c r="K28" s="1">
        <v>26</v>
      </c>
      <c r="L28" s="1">
        <v>1.1000000000000001</v>
      </c>
      <c r="M28" s="1">
        <f t="shared" si="2"/>
        <v>124.5</v>
      </c>
      <c r="N28" s="1">
        <f t="shared" si="3"/>
        <v>5.4510000000000005</v>
      </c>
      <c r="O28" s="1">
        <f t="shared" si="4"/>
        <v>2227.5</v>
      </c>
      <c r="P28" s="3">
        <f t="shared" si="5"/>
        <v>6.5656565656565649E-2</v>
      </c>
      <c r="Q28" s="1">
        <f t="shared" si="6"/>
        <v>124.5</v>
      </c>
      <c r="R28" s="1">
        <f t="shared" si="7"/>
        <v>5.44</v>
      </c>
      <c r="W28" s="14">
        <f t="shared" si="8"/>
        <v>124.5</v>
      </c>
    </row>
    <row r="29" spans="1:25" x14ac:dyDescent="0.25">
      <c r="A29" t="s">
        <v>73</v>
      </c>
      <c r="B29" t="s">
        <v>74</v>
      </c>
      <c r="C29" s="4">
        <v>45770</v>
      </c>
      <c r="D29" s="4">
        <v>45856</v>
      </c>
      <c r="E29">
        <f t="shared" si="0"/>
        <v>86</v>
      </c>
      <c r="F29">
        <f t="shared" ca="1" si="1"/>
        <v>16</v>
      </c>
      <c r="G29" t="s">
        <v>47</v>
      </c>
      <c r="H29" t="s">
        <v>0</v>
      </c>
      <c r="I29" s="1">
        <v>41</v>
      </c>
      <c r="J29">
        <v>1</v>
      </c>
      <c r="K29" s="1">
        <v>50</v>
      </c>
      <c r="L29" s="1">
        <v>1.1000000000000001</v>
      </c>
      <c r="M29" s="1">
        <f t="shared" si="2"/>
        <v>48.9</v>
      </c>
      <c r="N29" s="1">
        <f t="shared" si="3"/>
        <v>40.511000000000003</v>
      </c>
      <c r="O29" s="1">
        <f t="shared" si="4"/>
        <v>4051.1</v>
      </c>
      <c r="P29" s="3">
        <f t="shared" si="5"/>
        <v>5.1665553943717843E-2</v>
      </c>
      <c r="Q29" s="1">
        <f t="shared" si="6"/>
        <v>48.9</v>
      </c>
      <c r="R29" s="1">
        <f t="shared" si="7"/>
        <v>0</v>
      </c>
      <c r="W29" s="14">
        <f t="shared" si="8"/>
        <v>48.9</v>
      </c>
    </row>
    <row r="30" spans="1:25" x14ac:dyDescent="0.25">
      <c r="A30" t="s">
        <v>90</v>
      </c>
      <c r="B30" t="s">
        <v>91</v>
      </c>
      <c r="C30" s="4">
        <v>45776</v>
      </c>
      <c r="D30" s="4">
        <v>45856</v>
      </c>
      <c r="E30">
        <f t="shared" si="0"/>
        <v>80</v>
      </c>
      <c r="F30">
        <f t="shared" ca="1" si="1"/>
        <v>16</v>
      </c>
      <c r="G30" t="s">
        <v>17</v>
      </c>
      <c r="H30" t="s">
        <v>1</v>
      </c>
      <c r="I30" s="1">
        <v>110</v>
      </c>
      <c r="J30">
        <v>1</v>
      </c>
      <c r="K30" s="1">
        <v>207</v>
      </c>
      <c r="L30" s="1">
        <v>0.79</v>
      </c>
      <c r="M30" s="1">
        <f t="shared" si="2"/>
        <v>206.21</v>
      </c>
      <c r="N30" s="1">
        <f t="shared" si="3"/>
        <v>107.9379</v>
      </c>
      <c r="O30" s="1">
        <f t="shared" si="4"/>
        <v>10793.79</v>
      </c>
      <c r="P30" s="3">
        <f t="shared" si="5"/>
        <v>8.6299622282812599E-2</v>
      </c>
      <c r="Q30" s="1">
        <f t="shared" si="6"/>
        <v>189.71320000000003</v>
      </c>
      <c r="R30" s="1">
        <f t="shared" si="7"/>
        <v>107.93</v>
      </c>
      <c r="W30" s="34">
        <f t="shared" si="8"/>
        <v>189.71320000000003</v>
      </c>
    </row>
    <row r="31" spans="1:25" x14ac:dyDescent="0.25">
      <c r="A31" t="s">
        <v>13</v>
      </c>
      <c r="B31" t="s">
        <v>14</v>
      </c>
      <c r="C31" s="4">
        <v>45779</v>
      </c>
      <c r="D31" s="4">
        <v>45919</v>
      </c>
      <c r="E31">
        <f t="shared" si="0"/>
        <v>140</v>
      </c>
      <c r="F31">
        <f t="shared" ca="1" si="1"/>
        <v>79</v>
      </c>
      <c r="G31" t="s">
        <v>17</v>
      </c>
      <c r="H31" t="s">
        <v>0</v>
      </c>
      <c r="I31" s="1">
        <v>38</v>
      </c>
      <c r="J31">
        <v>1</v>
      </c>
      <c r="K31" s="1">
        <v>140</v>
      </c>
      <c r="L31" s="1">
        <v>1.1000000000000001</v>
      </c>
      <c r="M31" s="1">
        <f t="shared" si="2"/>
        <v>138.9</v>
      </c>
      <c r="N31" s="1">
        <f t="shared" si="3"/>
        <v>36.610999999999997</v>
      </c>
      <c r="O31" s="1">
        <f t="shared" si="4"/>
        <v>3661.1</v>
      </c>
      <c r="P31" s="3">
        <f t="shared" si="5"/>
        <v>9.8331102674059714E-2</v>
      </c>
      <c r="Q31" s="1">
        <f t="shared" si="6"/>
        <v>138.9</v>
      </c>
      <c r="R31" s="1">
        <f t="shared" si="7"/>
        <v>36.6</v>
      </c>
      <c r="W31" s="14">
        <f t="shared" si="8"/>
        <v>138.9</v>
      </c>
      <c r="X31" s="14"/>
      <c r="Y31" s="14"/>
    </row>
    <row r="32" spans="1:25" x14ac:dyDescent="0.25">
      <c r="A32" t="s">
        <v>84</v>
      </c>
      <c r="B32" t="s">
        <v>85</v>
      </c>
      <c r="C32" s="4">
        <v>45779</v>
      </c>
      <c r="D32" s="4">
        <v>45919</v>
      </c>
      <c r="E32">
        <f t="shared" si="0"/>
        <v>140</v>
      </c>
      <c r="F32">
        <f t="shared" ca="1" si="1"/>
        <v>79</v>
      </c>
      <c r="G32" t="s">
        <v>17</v>
      </c>
      <c r="H32" t="s">
        <v>0</v>
      </c>
      <c r="I32" s="1">
        <v>29</v>
      </c>
      <c r="J32">
        <v>3</v>
      </c>
      <c r="K32" s="1">
        <v>78</v>
      </c>
      <c r="L32" s="1">
        <v>1.1000000000000001</v>
      </c>
      <c r="M32" s="1">
        <f t="shared" si="2"/>
        <v>230.70000000000002</v>
      </c>
      <c r="N32" s="1">
        <f t="shared" si="3"/>
        <v>28.231000000000002</v>
      </c>
      <c r="O32" s="1">
        <f t="shared" si="4"/>
        <v>8007.9000000000005</v>
      </c>
      <c r="P32" s="3">
        <f t="shared" si="5"/>
        <v>2.5046694960155418E-2</v>
      </c>
      <c r="Q32" s="1">
        <f t="shared" si="6"/>
        <v>230.70000000000002</v>
      </c>
      <c r="R32" s="1">
        <f t="shared" si="7"/>
        <v>28.22</v>
      </c>
      <c r="W32" s="14">
        <f t="shared" si="8"/>
        <v>230.70000000000002</v>
      </c>
    </row>
    <row r="33" spans="1:23" x14ac:dyDescent="0.25">
      <c r="A33" t="s">
        <v>20</v>
      </c>
      <c r="B33" t="s">
        <v>21</v>
      </c>
      <c r="C33" s="4">
        <v>45789</v>
      </c>
      <c r="D33" s="4">
        <v>45919</v>
      </c>
      <c r="E33">
        <f t="shared" si="0"/>
        <v>130</v>
      </c>
      <c r="F33">
        <f t="shared" ca="1" si="1"/>
        <v>79</v>
      </c>
      <c r="G33" t="s">
        <v>47</v>
      </c>
      <c r="H33" t="s">
        <v>0</v>
      </c>
      <c r="I33" s="1">
        <v>7.2</v>
      </c>
      <c r="J33">
        <v>2</v>
      </c>
      <c r="K33" s="1">
        <v>24</v>
      </c>
      <c r="L33" s="1">
        <v>1.1000000000000001</v>
      </c>
      <c r="M33" s="1">
        <f t="shared" si="2"/>
        <v>45.8</v>
      </c>
      <c r="N33" s="1">
        <f t="shared" si="3"/>
        <v>6.9710000000000001</v>
      </c>
      <c r="O33" s="1">
        <f t="shared" si="4"/>
        <v>1348.4</v>
      </c>
      <c r="P33" s="3">
        <f t="shared" si="5"/>
        <v>4.9289186043858249E-2</v>
      </c>
      <c r="Q33" s="1">
        <f t="shared" si="6"/>
        <v>45.8</v>
      </c>
      <c r="R33" s="1">
        <f t="shared" si="7"/>
        <v>0</v>
      </c>
      <c r="W33" s="14">
        <f t="shared" si="8"/>
        <v>45.8</v>
      </c>
    </row>
    <row r="34" spans="1:23" x14ac:dyDescent="0.25">
      <c r="A34" t="s">
        <v>9</v>
      </c>
      <c r="B34" t="s">
        <v>9</v>
      </c>
      <c r="C34" s="4">
        <v>45789</v>
      </c>
      <c r="D34" s="4">
        <v>45856</v>
      </c>
      <c r="E34">
        <f t="shared" si="0"/>
        <v>67</v>
      </c>
      <c r="F34">
        <f t="shared" ca="1" si="1"/>
        <v>16</v>
      </c>
      <c r="G34" t="s">
        <v>17</v>
      </c>
      <c r="H34" t="s">
        <v>0</v>
      </c>
      <c r="I34" s="1">
        <v>46</v>
      </c>
      <c r="J34">
        <v>1</v>
      </c>
      <c r="K34" s="1">
        <v>90</v>
      </c>
      <c r="L34" s="1">
        <v>1.1000000000000001</v>
      </c>
      <c r="M34" s="1">
        <f t="shared" si="2"/>
        <v>88.9</v>
      </c>
      <c r="N34" s="1">
        <f t="shared" si="3"/>
        <v>45.110999999999997</v>
      </c>
      <c r="O34" s="1">
        <f t="shared" si="4"/>
        <v>4511.1000000000004</v>
      </c>
      <c r="P34" s="3">
        <f t="shared" si="5"/>
        <v>0.10719826418218145</v>
      </c>
      <c r="Q34" s="1">
        <f t="shared" si="6"/>
        <v>88.9</v>
      </c>
      <c r="R34" s="1">
        <f t="shared" si="7"/>
        <v>45.1</v>
      </c>
      <c r="W34" s="14">
        <f t="shared" si="8"/>
        <v>88.9</v>
      </c>
    </row>
    <row r="35" spans="1:23" x14ac:dyDescent="0.25">
      <c r="A35" t="s">
        <v>18</v>
      </c>
      <c r="B35" t="s">
        <v>19</v>
      </c>
      <c r="C35" s="4">
        <v>45789</v>
      </c>
      <c r="D35" s="4">
        <v>45856</v>
      </c>
      <c r="E35">
        <f t="shared" si="0"/>
        <v>67</v>
      </c>
      <c r="F35">
        <f t="shared" ca="1" si="1"/>
        <v>16</v>
      </c>
      <c r="G35" t="s">
        <v>17</v>
      </c>
      <c r="H35" t="s">
        <v>0</v>
      </c>
      <c r="I35" s="1">
        <v>29.5</v>
      </c>
      <c r="J35">
        <v>2</v>
      </c>
      <c r="K35" s="1">
        <v>68</v>
      </c>
      <c r="L35" s="1">
        <v>1.1000000000000001</v>
      </c>
      <c r="M35" s="1">
        <f t="shared" si="2"/>
        <v>133.80000000000001</v>
      </c>
      <c r="N35" s="1">
        <f t="shared" si="3"/>
        <v>28.831</v>
      </c>
      <c r="O35" s="1">
        <f t="shared" si="4"/>
        <v>5632.4</v>
      </c>
      <c r="P35" s="3">
        <f t="shared" si="5"/>
        <v>6.4869883944385739E-2</v>
      </c>
      <c r="Q35" s="1">
        <f t="shared" si="6"/>
        <v>133.80000000000001</v>
      </c>
      <c r="R35" s="1">
        <f t="shared" si="7"/>
        <v>28.82</v>
      </c>
      <c r="W35" s="34">
        <f t="shared" si="8"/>
        <v>133.80000000000001</v>
      </c>
    </row>
    <row r="36" spans="1:23" x14ac:dyDescent="0.25">
      <c r="A36" t="s">
        <v>86</v>
      </c>
      <c r="B36" t="s">
        <v>87</v>
      </c>
      <c r="C36" s="4">
        <v>45797</v>
      </c>
      <c r="D36" s="4">
        <v>45884</v>
      </c>
      <c r="E36">
        <f t="shared" si="0"/>
        <v>87</v>
      </c>
      <c r="F36">
        <f t="shared" ca="1" si="1"/>
        <v>44</v>
      </c>
      <c r="G36" t="s">
        <v>17</v>
      </c>
      <c r="H36" t="s">
        <v>1</v>
      </c>
      <c r="I36" s="1">
        <v>16</v>
      </c>
      <c r="J36">
        <v>3</v>
      </c>
      <c r="K36" s="1">
        <v>26</v>
      </c>
      <c r="L36" s="1">
        <f>1.08/3</f>
        <v>0.36000000000000004</v>
      </c>
      <c r="M36" s="1">
        <f t="shared" si="2"/>
        <v>76.92</v>
      </c>
      <c r="N36" s="1">
        <f t="shared" si="3"/>
        <v>15.743600000000001</v>
      </c>
      <c r="O36" s="1">
        <f t="shared" si="4"/>
        <v>4569.24</v>
      </c>
      <c r="P36" s="3">
        <f t="shared" si="5"/>
        <v>2.3545755288965284E-2</v>
      </c>
      <c r="Q36" s="1">
        <f t="shared" si="6"/>
        <v>70.766400000000004</v>
      </c>
      <c r="R36" s="1">
        <f t="shared" si="7"/>
        <v>15.74</v>
      </c>
      <c r="W36" s="34">
        <f t="shared" si="8"/>
        <v>70.766400000000004</v>
      </c>
    </row>
    <row r="37" spans="1:23" x14ac:dyDescent="0.25">
      <c r="A37" t="s">
        <v>88</v>
      </c>
      <c r="B37" t="s">
        <v>89</v>
      </c>
      <c r="C37" s="4">
        <v>45797</v>
      </c>
      <c r="D37" s="4">
        <v>45884</v>
      </c>
      <c r="E37">
        <f t="shared" si="0"/>
        <v>87</v>
      </c>
      <c r="F37">
        <f t="shared" ca="1" si="1"/>
        <v>44</v>
      </c>
      <c r="G37" t="s">
        <v>17</v>
      </c>
      <c r="H37" t="s">
        <v>1</v>
      </c>
      <c r="I37" s="1">
        <v>135</v>
      </c>
      <c r="J37">
        <v>1</v>
      </c>
      <c r="K37" s="1">
        <v>405</v>
      </c>
      <c r="L37" s="1">
        <v>0.78</v>
      </c>
      <c r="M37" s="1">
        <f t="shared" si="2"/>
        <v>404.22</v>
      </c>
      <c r="N37" s="1">
        <f t="shared" si="3"/>
        <v>130.95779999999999</v>
      </c>
      <c r="O37" s="1">
        <f t="shared" si="4"/>
        <v>13095.78</v>
      </c>
      <c r="P37" s="3">
        <f t="shared" si="5"/>
        <v>0.12796962601429754</v>
      </c>
      <c r="Q37" s="1">
        <f t="shared" si="6"/>
        <v>371.88240000000002</v>
      </c>
      <c r="R37" s="1">
        <f t="shared" si="7"/>
        <v>130.94999999999999</v>
      </c>
      <c r="W37" s="34">
        <f t="shared" si="8"/>
        <v>371.88240000000002</v>
      </c>
    </row>
    <row r="38" spans="1:23" x14ac:dyDescent="0.25">
      <c r="A38" t="s">
        <v>43</v>
      </c>
      <c r="B38" t="s">
        <v>44</v>
      </c>
      <c r="C38" s="4">
        <v>45797</v>
      </c>
      <c r="D38" s="4">
        <v>45884</v>
      </c>
      <c r="E38">
        <f t="shared" si="0"/>
        <v>87</v>
      </c>
      <c r="F38">
        <f t="shared" ca="1" si="1"/>
        <v>44</v>
      </c>
      <c r="G38" t="s">
        <v>17</v>
      </c>
      <c r="H38" t="s">
        <v>1</v>
      </c>
      <c r="I38" s="1">
        <v>52.5</v>
      </c>
      <c r="J38">
        <v>2</v>
      </c>
      <c r="K38" s="1">
        <v>115</v>
      </c>
      <c r="L38" s="1">
        <f>0.86/2</f>
        <v>0.43</v>
      </c>
      <c r="M38" s="1">
        <f t="shared" si="2"/>
        <v>229.14</v>
      </c>
      <c r="N38" s="1">
        <f t="shared" si="3"/>
        <v>51.354300000000002</v>
      </c>
      <c r="O38" s="1">
        <f t="shared" si="4"/>
        <v>10041.719999999999</v>
      </c>
      <c r="P38" s="3">
        <f t="shared" si="5"/>
        <v>4.7388502065932661E-2</v>
      </c>
      <c r="Q38" s="1">
        <f t="shared" si="6"/>
        <v>210.80879999999999</v>
      </c>
      <c r="R38" s="1">
        <f t="shared" si="7"/>
        <v>51.35</v>
      </c>
      <c r="W38" s="34">
        <f t="shared" si="8"/>
        <v>210.80879999999999</v>
      </c>
    </row>
    <row r="39" spans="1:23" x14ac:dyDescent="0.25">
      <c r="A39" t="s">
        <v>71</v>
      </c>
      <c r="B39" t="s">
        <v>82</v>
      </c>
      <c r="C39" s="4">
        <v>45811</v>
      </c>
      <c r="D39" s="4">
        <v>45884</v>
      </c>
      <c r="E39">
        <f t="shared" si="0"/>
        <v>73</v>
      </c>
      <c r="F39">
        <f t="shared" ca="1" si="1"/>
        <v>44</v>
      </c>
      <c r="G39" t="s">
        <v>17</v>
      </c>
      <c r="H39" t="s">
        <v>0</v>
      </c>
      <c r="I39" s="1">
        <v>26</v>
      </c>
      <c r="J39">
        <v>2</v>
      </c>
      <c r="K39" s="1">
        <v>44</v>
      </c>
      <c r="L39" s="1">
        <v>1.1000000000000001</v>
      </c>
      <c r="M39" s="1">
        <f t="shared" si="2"/>
        <v>85.8</v>
      </c>
      <c r="N39" s="1">
        <f t="shared" si="3"/>
        <v>25.571000000000002</v>
      </c>
      <c r="O39" s="1">
        <f t="shared" si="4"/>
        <v>5028.3999999999996</v>
      </c>
      <c r="P39" s="3">
        <f t="shared" si="5"/>
        <v>4.3152156027735068E-2</v>
      </c>
      <c r="Q39" s="1">
        <f t="shared" si="6"/>
        <v>85.8</v>
      </c>
      <c r="R39" s="1">
        <f t="shared" si="7"/>
        <v>25.56</v>
      </c>
      <c r="W39" s="14">
        <f t="shared" si="8"/>
        <v>85.8</v>
      </c>
    </row>
    <row r="40" spans="1:23" x14ac:dyDescent="0.25">
      <c r="A40" t="s">
        <v>27</v>
      </c>
      <c r="B40" t="s">
        <v>28</v>
      </c>
      <c r="C40" s="4">
        <v>45814</v>
      </c>
      <c r="D40" s="4">
        <v>45982</v>
      </c>
      <c r="E40">
        <f t="shared" si="0"/>
        <v>168</v>
      </c>
      <c r="F40">
        <f t="shared" ca="1" si="1"/>
        <v>142</v>
      </c>
      <c r="G40" t="s">
        <v>17</v>
      </c>
      <c r="H40" t="s">
        <v>1</v>
      </c>
      <c r="I40" s="1">
        <v>210</v>
      </c>
      <c r="J40">
        <v>1</v>
      </c>
      <c r="K40" s="1">
        <v>365</v>
      </c>
      <c r="L40" s="1">
        <v>0.81</v>
      </c>
      <c r="M40" s="1">
        <f t="shared" si="2"/>
        <v>364.19</v>
      </c>
      <c r="N40" s="1">
        <f t="shared" si="3"/>
        <v>206.35810000000001</v>
      </c>
      <c r="O40" s="1">
        <f t="shared" si="4"/>
        <v>20635.810000000001</v>
      </c>
      <c r="P40" s="3">
        <f t="shared" si="5"/>
        <v>3.7902212568484445E-2</v>
      </c>
      <c r="Q40" s="1">
        <f t="shared" si="6"/>
        <v>335.0548</v>
      </c>
      <c r="R40" s="1">
        <f t="shared" si="7"/>
        <v>206.35</v>
      </c>
      <c r="W40" s="34">
        <f t="shared" si="8"/>
        <v>335.0548</v>
      </c>
    </row>
    <row r="41" spans="1:23" x14ac:dyDescent="0.25">
      <c r="A41" t="s">
        <v>73</v>
      </c>
      <c r="B41" t="s">
        <v>74</v>
      </c>
      <c r="C41" s="4">
        <v>45831</v>
      </c>
      <c r="D41" s="4">
        <v>45919</v>
      </c>
      <c r="E41">
        <f t="shared" si="0"/>
        <v>88</v>
      </c>
      <c r="F41">
        <f t="shared" ca="1" si="1"/>
        <v>79</v>
      </c>
      <c r="G41" t="s">
        <v>47</v>
      </c>
      <c r="H41" t="s">
        <v>0</v>
      </c>
      <c r="I41" s="1">
        <v>40</v>
      </c>
      <c r="J41">
        <v>1</v>
      </c>
      <c r="K41" s="1">
        <v>135</v>
      </c>
      <c r="L41" s="1">
        <v>1.1000000000000001</v>
      </c>
      <c r="M41" s="1">
        <f t="shared" si="2"/>
        <v>133.9</v>
      </c>
      <c r="N41" s="1">
        <f t="shared" si="3"/>
        <v>38.661000000000001</v>
      </c>
      <c r="O41" s="1">
        <f t="shared" si="4"/>
        <v>3866.1</v>
      </c>
      <c r="P41" s="3">
        <f t="shared" si="5"/>
        <v>0.14285008853178327</v>
      </c>
      <c r="Q41" s="1">
        <f t="shared" si="6"/>
        <v>133.9</v>
      </c>
      <c r="R41" s="1">
        <f t="shared" si="7"/>
        <v>0</v>
      </c>
      <c r="W41" s="14">
        <f t="shared" si="8"/>
        <v>133.9</v>
      </c>
    </row>
    <row r="42" spans="1:23" x14ac:dyDescent="0.25">
      <c r="A42" t="s">
        <v>45</v>
      </c>
      <c r="B42" t="s">
        <v>81</v>
      </c>
      <c r="C42" s="4">
        <v>45840</v>
      </c>
      <c r="D42" s="4">
        <v>45884</v>
      </c>
      <c r="E42">
        <f t="shared" si="0"/>
        <v>44</v>
      </c>
      <c r="F42">
        <f t="shared" ca="1" si="1"/>
        <v>44</v>
      </c>
      <c r="G42" t="s">
        <v>47</v>
      </c>
      <c r="H42" t="s">
        <v>0</v>
      </c>
      <c r="I42" s="1">
        <v>56</v>
      </c>
      <c r="J42">
        <v>1</v>
      </c>
      <c r="K42" s="1">
        <v>37</v>
      </c>
      <c r="L42" s="1">
        <v>1.1000000000000001</v>
      </c>
      <c r="M42" s="1">
        <f t="shared" si="2"/>
        <v>35.9</v>
      </c>
      <c r="N42" s="1">
        <f t="shared" si="3"/>
        <v>55.640999999999998</v>
      </c>
      <c r="O42" s="1">
        <f t="shared" si="4"/>
        <v>5564.1</v>
      </c>
      <c r="P42" s="3">
        <f t="shared" si="5"/>
        <v>5.4407230769984848E-2</v>
      </c>
      <c r="Q42" s="1">
        <f t="shared" si="6"/>
        <v>35.9</v>
      </c>
      <c r="R42" s="1">
        <f t="shared" si="7"/>
        <v>0</v>
      </c>
      <c r="W42" s="34">
        <f t="shared" si="8"/>
        <v>35.9</v>
      </c>
    </row>
    <row r="43" spans="1:23" x14ac:dyDescent="0.25">
      <c r="A43" t="s">
        <v>45</v>
      </c>
      <c r="B43" t="s">
        <v>81</v>
      </c>
      <c r="C43" s="4">
        <v>45840</v>
      </c>
      <c r="D43" s="4">
        <v>46083</v>
      </c>
      <c r="E43">
        <f t="shared" si="0"/>
        <v>243</v>
      </c>
      <c r="F43">
        <f t="shared" ca="1" si="1"/>
        <v>243</v>
      </c>
      <c r="G43" t="s">
        <v>47</v>
      </c>
      <c r="H43" t="s">
        <v>0</v>
      </c>
      <c r="I43" s="1">
        <v>60</v>
      </c>
      <c r="J43">
        <v>1</v>
      </c>
      <c r="K43" s="1">
        <v>134</v>
      </c>
      <c r="L43" s="1">
        <v>1.1000000000000001</v>
      </c>
      <c r="M43" s="1">
        <f t="shared" si="2"/>
        <v>132.9</v>
      </c>
      <c r="N43" s="1">
        <f t="shared" si="3"/>
        <v>58.670999999999999</v>
      </c>
      <c r="O43" s="1">
        <f t="shared" si="4"/>
        <v>5867.1</v>
      </c>
      <c r="P43" s="3">
        <f t="shared" si="5"/>
        <v>3.3835884596907922E-2</v>
      </c>
      <c r="Q43" s="1">
        <f t="shared" si="6"/>
        <v>132.9</v>
      </c>
      <c r="R43" s="1">
        <f t="shared" si="7"/>
        <v>0</v>
      </c>
      <c r="W43" s="34">
        <f t="shared" si="8"/>
        <v>132.9</v>
      </c>
    </row>
  </sheetData>
  <autoFilter ref="A1:W40" xr:uid="{6C5D5697-FF21-48C8-BAE6-F041839AE6B9}"/>
  <sortState xmlns:xlrd2="http://schemas.microsoft.com/office/spreadsheetml/2017/richdata2" ref="A4:W41">
    <sortCondition ref="C4:C41"/>
  </sortState>
  <mergeCells count="4">
    <mergeCell ref="D2:D3"/>
    <mergeCell ref="E2:E3"/>
    <mergeCell ref="L2:L3"/>
    <mergeCell ref="R2:R3"/>
  </mergeCells>
  <conditionalFormatting sqref="A2:A3 S2:W3 S8:V8">
    <cfRule type="expression" dxfId="11" priority="10">
      <formula>AND(#REF!&lt;=30,#REF!&gt;0)</formula>
    </cfRule>
  </conditionalFormatting>
  <conditionalFormatting sqref="A4:P30 D31:H31 A32:P36 C36:D40 I40:P40 A1:W1 R4:V7 R8 R9:V30 A31:B31 J31 R32:V35 R36 J37:J39 A37:B40 E37:H40 A41:V1048576">
    <cfRule type="expression" dxfId="10" priority="17">
      <formula>AND($F1&lt;=30,$F1&gt;0)</formula>
    </cfRule>
  </conditionalFormatting>
  <conditionalFormatting sqref="D4:D5009">
    <cfRule type="cellIs" dxfId="9" priority="15" operator="greaterThan">
      <formula>TODAY()</formula>
    </cfRule>
    <cfRule type="notContainsBlanks" dxfId="8" priority="16">
      <formula>LEN(TRIM(D4))&gt;0</formula>
    </cfRule>
  </conditionalFormatting>
  <conditionalFormatting sqref="D8">
    <cfRule type="cellIs" dxfId="7" priority="7" operator="greaterThan">
      <formula>TODAY()</formula>
    </cfRule>
    <cfRule type="notContainsBlanks" dxfId="6" priority="8">
      <formula>LEN(TRIM(D8))&gt;0</formula>
    </cfRule>
  </conditionalFormatting>
  <conditionalFormatting sqref="P4:P5009">
    <cfRule type="expression" dxfId="5" priority="12">
      <formula>AND($P4&gt;=3%,$P4&lt;9%)</formula>
    </cfRule>
    <cfRule type="expression" dxfId="4" priority="13">
      <formula>AND($P4&lt;3%,$P4&gt;0)</formula>
    </cfRule>
    <cfRule type="expression" dxfId="3" priority="14">
      <formula>AND($P4&gt;=9%,$P4&gt;0)</formula>
    </cfRule>
  </conditionalFormatting>
  <conditionalFormatting sqref="P31">
    <cfRule type="expression" dxfId="2" priority="1">
      <formula>AND($F31&lt;=30,$F31&gt;0)</formula>
    </cfRule>
  </conditionalFormatting>
  <conditionalFormatting sqref="P37:P39">
    <cfRule type="expression" dxfId="1" priority="2">
      <formula>AND($F37&lt;=30,$F37&gt;0)</formula>
    </cfRule>
  </conditionalFormatting>
  <conditionalFormatting sqref="S31:V31">
    <cfRule type="expression" dxfId="0" priority="3">
      <formula>AND($F31&lt;=30,$F31&gt;0)</formula>
    </cfRule>
  </conditionalFormatting>
  <pageMargins left="0.7" right="0.7" top="0.78740157499999996" bottom="0.78740157499999996" header="0.3" footer="0.3"/>
  <pageSetup paperSize="38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25D8-419E-4D51-ABBF-58CFD24A6278}">
  <dimension ref="B2:H21"/>
  <sheetViews>
    <sheetView workbookViewId="0">
      <selection activeCell="F2" sqref="F2"/>
    </sheetView>
  </sheetViews>
  <sheetFormatPr baseColWidth="10" defaultRowHeight="15" x14ac:dyDescent="0.25"/>
  <cols>
    <col min="1" max="1" width="4.140625" style="22" customWidth="1"/>
    <col min="2" max="2" width="8.140625" style="22" customWidth="1"/>
    <col min="3" max="3" width="8.7109375" style="22" customWidth="1"/>
    <col min="4" max="4" width="11.42578125" style="22"/>
    <col min="5" max="5" width="5.28515625" style="22" customWidth="1"/>
    <col min="6" max="16384" width="11.42578125" style="22"/>
  </cols>
  <sheetData>
    <row r="2" spans="2:8" ht="24.75" customHeight="1" x14ac:dyDescent="0.25">
      <c r="B2" s="22" t="s">
        <v>10</v>
      </c>
      <c r="D2" s="22" t="s">
        <v>63</v>
      </c>
      <c r="F2" s="20">
        <v>11</v>
      </c>
    </row>
    <row r="3" spans="2:8" ht="9" customHeight="1" x14ac:dyDescent="0.25"/>
    <row r="4" spans="2:8" ht="24.75" customHeight="1" x14ac:dyDescent="0.25">
      <c r="B4" s="22" t="s">
        <v>3</v>
      </c>
      <c r="F4" s="21">
        <v>52.61</v>
      </c>
      <c r="H4" s="23"/>
    </row>
    <row r="5" spans="2:8" ht="12" customHeight="1" x14ac:dyDescent="0.25">
      <c r="B5" s="24"/>
      <c r="C5" s="24"/>
      <c r="D5" s="24"/>
      <c r="E5" s="24"/>
      <c r="F5" s="24"/>
    </row>
    <row r="6" spans="2:8" ht="24.75" customHeight="1" x14ac:dyDescent="0.25">
      <c r="B6" s="25" t="str" cm="1">
        <f t="array" aca="1" ref="B6" ca="1">INDIRECT("Optionen!"&amp;"A"&amp;$F$2,TRUE)</f>
        <v>KHC</v>
      </c>
      <c r="C6" s="25" t="str" cm="1">
        <f t="array" aca="1" ref="C6" ca="1">INDIRECT("Optionen!"&amp;"B"&amp;$F$2,TRUE)</f>
        <v>Kraft Heinz</v>
      </c>
    </row>
    <row r="7" spans="2:8" ht="7.5" customHeight="1" x14ac:dyDescent="0.25"/>
    <row r="8" spans="2:8" ht="24.75" customHeight="1" x14ac:dyDescent="0.25">
      <c r="B8" s="22" t="s">
        <v>7</v>
      </c>
      <c r="D8" s="26" cm="1">
        <f t="array" aca="1" ref="D8" ca="1">INDIRECT("Optionen!"&amp;"V"&amp;$F$2,TRUE)</f>
        <v>0.4</v>
      </c>
      <c r="F8" s="27">
        <f ca="1">D8/D11</f>
        <v>1.2468827930174564E-2</v>
      </c>
    </row>
    <row r="9" spans="2:8" ht="24.75" customHeight="1" x14ac:dyDescent="0.25">
      <c r="B9" s="22" t="s">
        <v>4</v>
      </c>
      <c r="D9" s="23" cm="1">
        <f t="array" aca="1" ref="D9" ca="1">INDIRECT("Optionen!"&amp;"I"&amp;$F$2,TRUE)</f>
        <v>32.5</v>
      </c>
    </row>
    <row r="10" spans="2:8" ht="24.75" customHeight="1" x14ac:dyDescent="0.25">
      <c r="B10" s="22" t="s">
        <v>67</v>
      </c>
      <c r="D10" s="23" cm="1">
        <f t="array" aca="1" ref="D10" ca="1">INDIRECT("Optionen!"&amp;"K"&amp;$F$2,TRUE)/100</f>
        <v>0.42</v>
      </c>
    </row>
    <row r="11" spans="2:8" ht="24.75" customHeight="1" x14ac:dyDescent="0.25">
      <c r="B11" s="22" t="s">
        <v>62</v>
      </c>
      <c r="D11" s="23" cm="1">
        <f t="array" aca="1" ref="D11" ca="1">INDIRECT("Optionen!"&amp;"R"&amp;$F$2,TRUE)</f>
        <v>32.08</v>
      </c>
      <c r="F11" s="28">
        <f ca="1">D11-(D8*0.73)</f>
        <v>31.787999999999997</v>
      </c>
      <c r="G11" s="22" t="s">
        <v>70</v>
      </c>
    </row>
    <row r="12" spans="2:8" ht="7.5" customHeight="1" x14ac:dyDescent="0.25"/>
    <row r="13" spans="2:8" ht="24.75" customHeight="1" x14ac:dyDescent="0.25">
      <c r="B13" s="29" t="s">
        <v>64</v>
      </c>
      <c r="C13" s="24"/>
      <c r="D13" s="24"/>
      <c r="E13" s="24"/>
      <c r="F13" s="24"/>
    </row>
    <row r="14" spans="2:8" ht="24.75" customHeight="1" x14ac:dyDescent="0.25">
      <c r="B14" s="22" t="s">
        <v>65</v>
      </c>
      <c r="D14" s="28">
        <f ca="1">IF(F4&gt;D9,D10,$F$4-$D$11)</f>
        <v>0.42</v>
      </c>
      <c r="F14" s="28">
        <f ca="1">IF(F4&gt;D9,D14,$F$4-$F$11)</f>
        <v>0.42</v>
      </c>
    </row>
    <row r="15" spans="2:8" ht="24.75" customHeight="1" x14ac:dyDescent="0.25">
      <c r="B15" s="22" t="s">
        <v>66</v>
      </c>
      <c r="D15" s="28">
        <f ca="1">D14*100</f>
        <v>42</v>
      </c>
      <c r="F15" s="28">
        <f ca="1">F14*100</f>
        <v>42</v>
      </c>
    </row>
    <row r="16" spans="2:8" ht="24.75" customHeight="1" x14ac:dyDescent="0.25">
      <c r="D16" s="28"/>
      <c r="E16" s="28"/>
      <c r="F16" s="28"/>
    </row>
    <row r="17" spans="4:6" ht="24.75" customHeight="1" x14ac:dyDescent="0.25">
      <c r="D17" s="28"/>
      <c r="F17" s="28"/>
    </row>
    <row r="21" spans="4:6" x14ac:dyDescent="0.25">
      <c r="D21" s="28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F4" name="Kurs"/>
    <protectedRange sqref="F2" name="PUT" securityDescriptor="O:WDG:WDD:(A;;CC;;;WD)"/>
  </protectedRange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Optionen</vt:lpstr>
      <vt:lpstr>Optionen 2024</vt:lpstr>
      <vt:lpstr>Optionen 2025</vt:lpstr>
      <vt:lpstr>Profitrechner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riz0r</dc:creator>
  <cp:lastModifiedBy>Kalk, Andreas - ENCOWAY</cp:lastModifiedBy>
  <dcterms:created xsi:type="dcterms:W3CDTF">2024-03-06T19:27:42Z</dcterms:created>
  <dcterms:modified xsi:type="dcterms:W3CDTF">2025-07-02T12:17:39Z</dcterms:modified>
</cp:coreProperties>
</file>